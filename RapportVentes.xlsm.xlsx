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esktop\Projet\projet VBA\"/>
    </mc:Choice>
  </mc:AlternateContent>
  <xr:revisionPtr revIDLastSave="0" documentId="13_ncr:1_{6650ADB1-DDA7-4E2E-A1EB-4F4ACC8E49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22" r:id="rId1"/>
    <sheet name="Données" sheetId="1" r:id="rId2"/>
    <sheet name="Analyse" sheetId="21" state="hidden" r:id="rId3"/>
    <sheet name="Instructions" sheetId="2" r:id="rId4"/>
  </sheets>
  <definedNames>
    <definedName name="_xlnm._FilterDatabase" localSheetId="1" hidden="1">Données!$A$1:$I$301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1" l="1"/>
  <c r="B22" i="21"/>
  <c r="B21" i="21"/>
  <c r="B20" i="21"/>
  <c r="B19" i="21"/>
  <c r="B18" i="21"/>
  <c r="B17" i="21"/>
  <c r="B16" i="21"/>
  <c r="B15" i="21"/>
  <c r="B14" i="21"/>
  <c r="B13" i="21"/>
  <c r="B12" i="21"/>
  <c r="K6" i="21"/>
  <c r="K5" i="21"/>
  <c r="K4" i="21"/>
  <c r="K3" i="21"/>
  <c r="K2" i="21"/>
  <c r="H6" i="21"/>
  <c r="H5" i="21"/>
  <c r="H4" i="21"/>
  <c r="H3" i="21"/>
  <c r="H2" i="21"/>
  <c r="E5" i="21"/>
  <c r="E4" i="21"/>
  <c r="E3" i="21"/>
  <c r="E2" i="21"/>
  <c r="B6" i="21"/>
  <c r="B8" i="21" s="1"/>
  <c r="B5" i="21"/>
  <c r="B4" i="21"/>
  <c r="B3" i="21"/>
  <c r="B2" i="21"/>
  <c r="B7" i="21" s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<sst xmlns="http://schemas.openxmlformats.org/spreadsheetml/2006/main" count="1266" uniqueCount="67">
  <si>
    <t>ID</t>
  </si>
  <si>
    <t>Date</t>
  </si>
  <si>
    <t>Vendeur</t>
  </si>
  <si>
    <t>Région</t>
  </si>
  <si>
    <t>Produit</t>
  </si>
  <si>
    <t>Quantité</t>
  </si>
  <si>
    <t>Prix Unitaire</t>
  </si>
  <si>
    <t>Total</t>
  </si>
  <si>
    <t>Statut</t>
  </si>
  <si>
    <t>Bruno Dupont</t>
  </si>
  <si>
    <t>Paris</t>
  </si>
  <si>
    <t>Laptop</t>
  </si>
  <si>
    <t>Payé</t>
  </si>
  <si>
    <t>Alice Martin</t>
  </si>
  <si>
    <t>Lyon</t>
  </si>
  <si>
    <t>Accessoires</t>
  </si>
  <si>
    <t>Emma Bernard</t>
  </si>
  <si>
    <t>Bordeaux</t>
  </si>
  <si>
    <t>Smartphone</t>
  </si>
  <si>
    <t>David Moreau</t>
  </si>
  <si>
    <t>Marseille</t>
  </si>
  <si>
    <t>Tablette</t>
  </si>
  <si>
    <t>Carla Leroy</t>
  </si>
  <si>
    <t>Montre</t>
  </si>
  <si>
    <t>En attente</t>
  </si>
  <si>
    <t>Annulé</t>
  </si>
  <si>
    <t>📋 GUIDE D'UTILISATION DU PROJET VBA</t>
  </si>
  <si>
    <t>ÉTAPE 1 — Ouvrir l'éditeur VBA</t>
  </si>
  <si>
    <t>Appuyez sur Alt + F11</t>
  </si>
  <si>
    <t>ÉTAPE 2 — Importer le module VBA</t>
  </si>
  <si>
    <t>Fichier &gt; Importer un fichier &gt; sélectionner 'RapportVBA.bas'</t>
  </si>
  <si>
    <t>ÉTAPE 3 — Sauvegarder en .xlsm</t>
  </si>
  <si>
    <t>Fichier &gt; Enregistrer sous &gt; Format : Classeur Excel avec macros (.xlsm)</t>
  </si>
  <si>
    <t>Alt + F8 &gt; sélectionner 'GenererDashboard' &gt; Exécuter</t>
  </si>
  <si>
    <t>ÉTAPE 5 — Exporter en PDF</t>
  </si>
  <si>
    <t>Alt + F8 &gt; sélectionner 'ExporterPDF' &gt; Exécuter</t>
  </si>
  <si>
    <t>KPI GLOBAUX</t>
  </si>
  <si>
    <t>Nb Commandes</t>
  </si>
  <si>
    <t>Nb Commandes En attente</t>
  </si>
  <si>
    <t>Taux Annulation (%)</t>
  </si>
  <si>
    <t>CA PAR VENDEUR</t>
  </si>
  <si>
    <t>Janv</t>
  </si>
  <si>
    <t>Mars</t>
  </si>
  <si>
    <t>Avr</t>
  </si>
  <si>
    <t>Mai</t>
  </si>
  <si>
    <t>Juin</t>
  </si>
  <si>
    <t>Juil</t>
  </si>
  <si>
    <t>Sept</t>
  </si>
  <si>
    <t>Oct</t>
  </si>
  <si>
    <t>Nov</t>
  </si>
  <si>
    <t>Aout</t>
  </si>
  <si>
    <t>Commandes</t>
  </si>
  <si>
    <t>En Attente</t>
  </si>
  <si>
    <t>Taux Annulation</t>
  </si>
  <si>
    <t>CA Total (EUR)</t>
  </si>
  <si>
    <t>Nb Commandes Payees</t>
  </si>
  <si>
    <t>Nb Commandes Annulees</t>
  </si>
  <si>
    <t>Panier Moyen (EUR)</t>
  </si>
  <si>
    <t>CA PAR REGION</t>
  </si>
  <si>
    <t>CA PAR PRODUIT</t>
  </si>
  <si>
    <t>CA PAR MOIS</t>
  </si>
  <si>
    <t>Fevr</t>
  </si>
  <si>
    <t>Dec</t>
  </si>
  <si>
    <t>RAPPORT DE VENTES 2024 - TABLEAU DE BORD</t>
  </si>
  <si>
    <t>Payees</t>
  </si>
  <si>
    <t>ÉTAPE 4 — Lancer les macros à partir du bouton</t>
  </si>
  <si>
    <t>Genere le : 19/05/2026 23:22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</si>
</sst>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E7B1E"/>
      <name val="Arial"/>
    </font>
    <font>
      <b/>
      <sz val="10"/>
      <color rgb="FFB8860B"/>
      <name val="Arial"/>
    </font>
    <font>
      <b/>
      <sz val="10"/>
      <color rgb="FFCC0000"/>
      <name val="Arial"/>
    </font>
    <font>
      <b/>
      <sz val="12"/>
      <color rgb="FF1F3864"/>
      <name val="Arial"/>
    </font>
    <font>
      <sz val="11"/>
      <name val="Arial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i/>
      <sz val="10"/>
      <color rgb="FF646464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12"/>
      <color rgb="FF1F3864"/>
      <name val="Arial"/>
      <family val="2"/>
    </font>
    <font>
      <b/>
      <sz val="11"/>
      <color rgb="FF000000"/>
      <name val="Calibri"/>
      <family val="2"/>
    </font>
    <font>
      <b/>
      <sz val="22"/>
      <color rgb="FFFF0000"/>
      <name val="Calibri Light"/>
      <family val="2"/>
    </font>
    <font>
      <b/>
      <sz val="16"/>
      <color rgb="FF1F38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0FA"/>
      </patternFill>
    </fill>
    <fill>
      <patternFill patternType="solid">
        <fgColor rgb="FFF5F7FC"/>
        <bgColor indexed="64"/>
      </patternFill>
    </fill>
    <fill>
      <patternFill patternType="solid">
        <fgColor rgb="FF1F231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E74C3C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5" borderId="0" xfId="0" applyFont="1" applyFill="1"/>
    <xf numFmtId="0" fontId="8" fillId="6" borderId="0" xfId="0" applyFont="1" applyFill="1"/>
    <xf numFmtId="0" fontId="13" fillId="0" borderId="0" xfId="0" applyFont="1"/>
    <xf numFmtId="0" fontId="11" fillId="11" borderId="0" xfId="0" applyFont="1" applyFill="1" applyAlignment="1">
      <alignment horizontal="center" vertical="center"/>
    </xf>
    <xf numFmtId="3" fontId="12" fillId="11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65" fontId="12" fillId="12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" fontId="12" fillId="8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" fontId="12" fillId="10" borderId="0" xfId="0" applyNumberFormat="1" applyFont="1" applyFill="1" applyAlignment="1">
      <alignment horizontal="center" vertic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1F231F"/>
                </a:solidFill>
              </a:defRPr>
            </a:pPr>
            <a:r>
              <a:rPr lang="fr-FR"/>
              <a:t>CA par Region (EUR)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498DB"/>
            </a:solidFill>
          </c:spPr>
          <c:invertIfNegative val="0"/>
          <c:cat>
            <c:strRef>
              <c:f>Analyse!$D$2:$D$5</c:f>
              <c:strCache>
                <c:ptCount val="4"/>
                <c:pt idx="0">
                  <c:v>Paris</c:v>
                </c:pt>
                <c:pt idx="1">
                  <c:v>Lyon</c:v>
                </c:pt>
                <c:pt idx="2">
                  <c:v>Marseille</c:v>
                </c:pt>
                <c:pt idx="3">
                  <c:v>Bordeaux</c:v>
                </c:pt>
              </c:strCache>
            </c:strRef>
          </c:cat>
          <c:val>
            <c:numRef>
              <c:f>Analyse!$E$2:$E$5</c:f>
              <c:numCache>
                <c:formatCode>General</c:formatCode>
                <c:ptCount val="4"/>
                <c:pt idx="0">
                  <c:v>179103.39</c:v>
                </c:pt>
                <c:pt idx="1">
                  <c:v>268731.27999999997</c:v>
                </c:pt>
                <c:pt idx="2">
                  <c:v>171106.89999999997</c:v>
                </c:pt>
                <c:pt idx="3">
                  <c:v>275507.87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63-495F-933A-0004FD5CC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260527"/>
        <c:axId val="169264847"/>
      </c:barChart>
      <c:catAx>
        <c:axId val="169260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9264847"/>
        <c:crosses val="autoZero"/>
        <c:auto val="1"/>
        <c:lblAlgn val="ctr"/>
        <c:lblOffset val="100"/>
        <c:noMultiLvlLbl val="0"/>
      </c:catAx>
      <c:valAx>
        <c:axId val="169264847"/>
        <c:scaling>
          <c:orientation val="minMax"/>
        </c:scaling>
        <c:delete val="0"/>
        <c:axPos val="b"/>
        <c:majorGridlines/>
        <c:numFmt formatCode="#,##0" sourceLinked="0"/>
        <c:majorTickMark val="out"/>
        <c:minorTickMark val="none"/>
        <c:tickLblPos val="nextTo"/>
        <c:crossAx val="169260527"/>
        <c:crosses val="autoZero"/>
        <c:crossBetween val="between"/>
      </c:valAx>
      <c:spPr>
        <a:solidFill>
          <a:srgbClr val="F5F7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1F231F"/>
                </a:solidFill>
              </a:defRPr>
            </a:pPr>
            <a:r>
              <a:rPr lang="fr-FR"/>
              <a:t>Evolution CA Mensuel (EUR)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27AE6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27AE60"/>
              </a:solidFill>
              <a:ln>
                <a:solidFill>
                  <a:srgbClr val="27AE60"/>
                </a:solidFill>
                <a:prstDash val="solid"/>
              </a:ln>
            </c:spPr>
          </c:marker>
          <c:cat>
            <c:strRef>
              <c:f>Analyse!$A$12:$A$23</c:f>
              <c:strCache>
                <c:ptCount val="12"/>
                <c:pt idx="0">
                  <c:v>Janv</c:v>
                </c:pt>
                <c:pt idx="1">
                  <c:v>Fevr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Aout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Analyse!$B$12:$B$23</c:f>
              <c:numCache>
                <c:formatCode>General</c:formatCode>
                <c:ptCount val="12"/>
                <c:pt idx="0">
                  <c:v>126018.65</c:v>
                </c:pt>
                <c:pt idx="1">
                  <c:v>44226.87999999999</c:v>
                </c:pt>
                <c:pt idx="2">
                  <c:v>42039.73000000001</c:v>
                </c:pt>
                <c:pt idx="3">
                  <c:v>66450.149999999994</c:v>
                </c:pt>
                <c:pt idx="4">
                  <c:v>106039.20999999999</c:v>
                </c:pt>
                <c:pt idx="5">
                  <c:v>79022.58</c:v>
                </c:pt>
                <c:pt idx="6">
                  <c:v>65520.34</c:v>
                </c:pt>
                <c:pt idx="7">
                  <c:v>84325.279999999984</c:v>
                </c:pt>
                <c:pt idx="8">
                  <c:v>23939.119999999999</c:v>
                </c:pt>
                <c:pt idx="9">
                  <c:v>112654.47</c:v>
                </c:pt>
                <c:pt idx="10">
                  <c:v>98260.919999999984</c:v>
                </c:pt>
                <c:pt idx="11">
                  <c:v>45952.11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0-4FE3-8781-483DF2F0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60047"/>
        <c:axId val="169277807"/>
      </c:lineChart>
      <c:catAx>
        <c:axId val="169260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277807"/>
        <c:crosses val="autoZero"/>
        <c:auto val="1"/>
        <c:lblAlgn val="ctr"/>
        <c:lblOffset val="100"/>
        <c:noMultiLvlLbl val="0"/>
      </c:catAx>
      <c:valAx>
        <c:axId val="169277807"/>
        <c:scaling>
          <c:orientation val="minMax"/>
        </c:scaling>
        <c:delete val="0"/>
        <c:axPos val="l"/>
        <c:majorGridlines/>
        <c:numFmt formatCode="#.##0" sourceLinked="0"/>
        <c:majorTickMark val="out"/>
        <c:minorTickMark val="none"/>
        <c:tickLblPos val="nextTo"/>
        <c:crossAx val="169260047"/>
        <c:crosses val="autoZero"/>
        <c:crossBetween val="between"/>
      </c:valAx>
      <c:spPr>
        <a:solidFill>
          <a:srgbClr val="F5F7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1F231F"/>
                </a:solidFill>
              </a:defRPr>
            </a:pPr>
            <a:r>
              <a:rPr lang="fr-FR"/>
              <a:t>CA par Vendeur (EUR)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8E44AD"/>
            </a:solidFill>
          </c:spPr>
          <c:invertIfNegative val="0"/>
          <c:cat>
            <c:strRef>
              <c:f>Analyse!$G$2:$G$6</c:f>
              <c:strCache>
                <c:ptCount val="5"/>
                <c:pt idx="0">
                  <c:v>Alice Martin</c:v>
                </c:pt>
                <c:pt idx="1">
                  <c:v>Bruno Dupont</c:v>
                </c:pt>
                <c:pt idx="2">
                  <c:v>Carla Leroy</c:v>
                </c:pt>
                <c:pt idx="3">
                  <c:v>David Moreau</c:v>
                </c:pt>
                <c:pt idx="4">
                  <c:v>Emma Bernard</c:v>
                </c:pt>
              </c:strCache>
            </c:strRef>
          </c:cat>
          <c:val>
            <c:numRef>
              <c:f>Analyse!$H$2:$H$6</c:f>
              <c:numCache>
                <c:formatCode>General</c:formatCode>
                <c:ptCount val="5"/>
                <c:pt idx="0">
                  <c:v>125096.07999999996</c:v>
                </c:pt>
                <c:pt idx="1">
                  <c:v>223338.59999999998</c:v>
                </c:pt>
                <c:pt idx="2">
                  <c:v>196596.99000000005</c:v>
                </c:pt>
                <c:pt idx="3">
                  <c:v>189442.64</c:v>
                </c:pt>
                <c:pt idx="4">
                  <c:v>159975.13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27-498A-A05D-86635538F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285967"/>
        <c:axId val="169283087"/>
      </c:barChart>
      <c:catAx>
        <c:axId val="1692859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9283087"/>
        <c:crosses val="autoZero"/>
        <c:auto val="1"/>
        <c:lblAlgn val="ctr"/>
        <c:lblOffset val="100"/>
        <c:noMultiLvlLbl val="0"/>
      </c:catAx>
      <c:valAx>
        <c:axId val="169283087"/>
        <c:scaling>
          <c:orientation val="minMax"/>
        </c:scaling>
        <c:delete val="0"/>
        <c:axPos val="b"/>
        <c:majorGridlines/>
        <c:numFmt formatCode="#.##0" sourceLinked="0"/>
        <c:majorTickMark val="out"/>
        <c:minorTickMark val="none"/>
        <c:tickLblPos val="nextTo"/>
        <c:crossAx val="169285967"/>
        <c:crosses val="autoZero"/>
        <c:crossBetween val="between"/>
      </c:valAx>
      <c:spPr>
        <a:solidFill>
          <a:srgbClr val="F5F7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1F231F"/>
                </a:solidFill>
              </a:defRPr>
            </a:pPr>
            <a:r>
              <a:rPr lang="fr-FR"/>
              <a:t>Repartition CA par Produit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numFmt formatCode="0\.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Analyse!$J$2:$J$6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Tablette</c:v>
                </c:pt>
                <c:pt idx="3">
                  <c:v>Montre</c:v>
                </c:pt>
                <c:pt idx="4">
                  <c:v>Accessoires</c:v>
                </c:pt>
              </c:strCache>
            </c:strRef>
          </c:cat>
          <c:val>
            <c:numRef>
              <c:f>Analyse!$K$2:$K$6</c:f>
              <c:numCache>
                <c:formatCode>General</c:formatCode>
                <c:ptCount val="5"/>
                <c:pt idx="0">
                  <c:v>306592.78999999998</c:v>
                </c:pt>
                <c:pt idx="1">
                  <c:v>201837.43000000002</c:v>
                </c:pt>
                <c:pt idx="2">
                  <c:v>216477.62</c:v>
                </c:pt>
                <c:pt idx="3">
                  <c:v>148060.57999999999</c:v>
                </c:pt>
                <c:pt idx="4">
                  <c:v>21481.020000000004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BE-4976-9324-8BA69E2B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5F7FC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10</xdr:row>
      <xdr:rowOff>132080</xdr:rowOff>
    </xdr:from>
    <xdr:to>
      <xdr:col>6</xdr:col>
      <xdr:colOff>198120</xdr:colOff>
      <xdr:row>28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A0E439-8D7D-A0A9-33F6-CA3BC4A6E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452120</xdr:colOff>
      <xdr:row>10</xdr:row>
      <xdr:rowOff>132080</xdr:rowOff>
    </xdr:from>
    <xdr:to>
      <xdr:col>13</xdr:col>
      <xdr:colOff>238760</xdr:colOff>
      <xdr:row>28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E8E310-252F-2A69-BDB0-FD0707614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30</xdr:row>
      <xdr:rowOff>55880</xdr:rowOff>
    </xdr:from>
    <xdr:to>
      <xdr:col>6</xdr:col>
      <xdr:colOff>198120</xdr:colOff>
      <xdr:row>48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B9DA70D-3EE7-4E7B-9F62-301A75C8B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452120</xdr:colOff>
      <xdr:row>30</xdr:row>
      <xdr:rowOff>55880</xdr:rowOff>
    </xdr:from>
    <xdr:to>
      <xdr:col>13</xdr:col>
      <xdr:colOff>238760</xdr:colOff>
      <xdr:row>48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FB992C5-E35D-E509-CC5E-81E449680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121920</xdr:colOff>
          <xdr:row>0</xdr:row>
          <xdr:rowOff>60960</xdr:rowOff>
        </xdr:from>
        <xdr:to>
          <xdr:col>3</xdr:col>
          <xdr:colOff>449580</xdr:colOff>
          <xdr:row>0</xdr:row>
          <xdr:rowOff>381000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Exporter en PDF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784860</xdr:colOff>
          <xdr:row>18</xdr:row>
          <xdr:rowOff>15240</xdr:rowOff>
        </xdr:from>
        <xdr:to>
          <xdr:col>0</xdr:col>
          <xdr:colOff>4678680</xdr:colOff>
          <xdr:row>23</xdr:row>
          <xdr:rowOff>22860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fr-FR" sz="2200" b="1" i="0" u="none" strike="noStrike" baseline="0">
                  <a:solidFill>
                    <a:srgbClr val="FF0000"/>
                  </a:solidFill>
                  <a:latin typeface="Calibri Light"/>
                  <a:ea typeface="Calibri Light"/>
                  <a:cs typeface="Calibri Light"/>
                </a:rPr>
                <a:t>Generate  Dashboard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31B8-FD8F-47FD-970D-6923188605BD}">
  <sheetPr codeName="Feuil4"/>
  <dimension ref="A1:Q10"/>
  <sheetViews>
    <sheetView workbookViewId="0">
      <selection activeCell="Q18" sqref="Q18"/>
    </sheetView>
  </sheetViews>
  <sheetFormatPr baseColWidth="10" defaultRowHeight="13.8" x14ac:dyDescent="0.25"/>
  <cols>
    <col min="1" max="16" width="10.77734375" style="20" customWidth="1"/>
    <col min="17" max="16384" width="11.5546875" style="20"/>
  </cols>
  <sheetData>
    <row r="1" spans="1:17" ht="45" customHeight="1" x14ac:dyDescent="0.25">
      <c r="A1" s="27" t="s">
        <v>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7" ht="4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7" x14ac:dyDescent="0.25">
      <c r="A3" s="28" t="s">
        <v>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7" ht="3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7" ht="10.050000000000001" customHeight="1" x14ac:dyDescent="0.25"/>
    <row r="6" spans="1:17" x14ac:dyDescent="0.25">
      <c r="A6" s="29" t="s">
        <v>54</v>
      </c>
      <c r="B6" s="29"/>
      <c r="D6" s="31" t="s">
        <v>51</v>
      </c>
      <c r="E6" s="31"/>
      <c r="G6" s="33" t="s">
        <v>64</v>
      </c>
      <c r="H6" s="33"/>
      <c r="J6" s="35" t="s">
        <v>52</v>
      </c>
      <c r="K6" s="35"/>
      <c r="M6" s="23" t="s">
        <v>57</v>
      </c>
      <c r="N6" s="23"/>
      <c r="P6" s="25" t="s">
        <v>53</v>
      </c>
      <c r="Q6" s="25"/>
    </row>
    <row r="7" spans="1:17" x14ac:dyDescent="0.25">
      <c r="A7" s="29"/>
      <c r="B7" s="29"/>
      <c r="D7" s="31"/>
      <c r="E7" s="31"/>
      <c r="G7" s="33"/>
      <c r="H7" s="33"/>
      <c r="J7" s="35"/>
      <c r="K7" s="35"/>
      <c r="M7" s="23"/>
      <c r="N7" s="23"/>
      <c r="P7" s="25"/>
      <c r="Q7" s="25"/>
    </row>
    <row r="8" spans="1:17" x14ac:dyDescent="0.25">
      <c r="A8" s="30">
        <v>894449.44000000006</v>
      </c>
      <c r="B8" s="30"/>
      <c r="D8" s="32">
        <v>299</v>
      </c>
      <c r="E8" s="32"/>
      <c r="G8" s="34">
        <v>183</v>
      </c>
      <c r="H8" s="34"/>
      <c r="J8" s="36">
        <v>60</v>
      </c>
      <c r="K8" s="36"/>
      <c r="M8" s="24">
        <v>4887.7018579234973</v>
      </c>
      <c r="N8" s="24"/>
      <c r="P8" s="26">
        <v>0.19063545150501673</v>
      </c>
      <c r="Q8" s="26"/>
    </row>
    <row r="9" spans="1:17" x14ac:dyDescent="0.25">
      <c r="A9" s="30"/>
      <c r="B9" s="30"/>
      <c r="D9" s="32"/>
      <c r="E9" s="32"/>
      <c r="G9" s="34"/>
      <c r="H9" s="34"/>
      <c r="J9" s="36"/>
      <c r="K9" s="36"/>
      <c r="M9" s="24"/>
      <c r="N9" s="24"/>
      <c r="P9" s="26"/>
      <c r="Q9" s="26"/>
    </row>
    <row r="10" spans="1:17" x14ac:dyDescent="0.25">
      <c r="A10" s="30"/>
      <c r="B10" s="30"/>
      <c r="D10" s="32"/>
      <c r="E10" s="32"/>
      <c r="G10" s="34"/>
      <c r="H10" s="34"/>
      <c r="J10" s="36"/>
      <c r="K10" s="36"/>
      <c r="M10" s="24"/>
      <c r="N10" s="24"/>
      <c r="P10" s="26"/>
      <c r="Q10" s="26"/>
    </row>
  </sheetData>
  <mergeCells count="14">
    <mergeCell ref="M6:N7"/>
    <mergeCell ref="M8:N10"/>
    <mergeCell ref="P6:Q7"/>
    <mergeCell ref="P8:Q10"/>
    <mergeCell ref="A1:P2"/>
    <mergeCell ref="A3:P3"/>
    <mergeCell ref="A6:B7"/>
    <mergeCell ref="A8:B10"/>
    <mergeCell ref="D6:E7"/>
    <mergeCell ref="D8:E10"/>
    <mergeCell ref="G6:H7"/>
    <mergeCell ref="G8:H10"/>
    <mergeCell ref="J6:K7"/>
    <mergeCell ref="J8:K10"/>
  </mergeCells>
  <pageMargins left="0.4" right="0.4" top="0.5" bottom="0.5" header="0.3" footer="0.3"/>
  <pageSetup paperSize="9" orientation="landscape" r:id="rId1"/>
  <headerFooter>
    <oddHeader>&amp;C&amp;"Arial,Bold"&amp;14RAPPORT DE VENTES 2024</oddHeader>
    <oddFooter>&amp;CPage &amp;P sur &amp;N  -  Confidentiel  -  Genere le 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 macro="[0]!ExporterPDF">
                <anchor moveWithCells="1" sizeWithCells="1">
                  <from>
                    <xdr:col>0</xdr:col>
                    <xdr:colOff>121920</xdr:colOff>
                    <xdr:row>0</xdr:row>
                    <xdr:rowOff>60960</xdr:rowOff>
                  </from>
                  <to>
                    <xdr:col>3</xdr:col>
                    <xdr:colOff>449580</xdr:colOff>
                    <xdr:row>0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3" width="18" customWidth="1"/>
    <col min="4" max="4" width="12" customWidth="1"/>
    <col min="5" max="5" width="14" customWidth="1"/>
    <col min="6" max="6" width="10" customWidth="1"/>
    <col min="7" max="7" width="16" customWidth="1"/>
    <col min="8" max="9" width="1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45417</v>
      </c>
      <c r="C2" s="4" t="s">
        <v>9</v>
      </c>
      <c r="D2" s="2" t="s">
        <v>10</v>
      </c>
      <c r="E2" s="2" t="s">
        <v>11</v>
      </c>
      <c r="F2" s="2">
        <v>5</v>
      </c>
      <c r="G2" s="5">
        <v>825.01</v>
      </c>
      <c r="H2" s="6">
        <f t="shared" ref="H2:H65" si="0">F2*G2</f>
        <v>4125.05</v>
      </c>
      <c r="I2" s="7" t="s">
        <v>12</v>
      </c>
    </row>
    <row r="3" spans="1:9" x14ac:dyDescent="0.3">
      <c r="A3" s="8">
        <v>2</v>
      </c>
      <c r="B3" s="9">
        <v>45308</v>
      </c>
      <c r="C3" s="10" t="s">
        <v>13</v>
      </c>
      <c r="D3" s="8" t="s">
        <v>14</v>
      </c>
      <c r="E3" s="8" t="s">
        <v>15</v>
      </c>
      <c r="F3" s="8">
        <v>7</v>
      </c>
      <c r="G3" s="11">
        <v>31.3</v>
      </c>
      <c r="H3" s="12">
        <f t="shared" si="0"/>
        <v>219.1</v>
      </c>
      <c r="I3" s="13" t="s">
        <v>12</v>
      </c>
    </row>
    <row r="4" spans="1:9" x14ac:dyDescent="0.3">
      <c r="A4" s="2">
        <v>3</v>
      </c>
      <c r="B4" s="3">
        <v>45579</v>
      </c>
      <c r="C4" s="4" t="s">
        <v>16</v>
      </c>
      <c r="D4" s="2" t="s">
        <v>17</v>
      </c>
      <c r="E4" s="2" t="s">
        <v>18</v>
      </c>
      <c r="F4" s="2">
        <v>1</v>
      </c>
      <c r="G4" s="5">
        <v>804.28</v>
      </c>
      <c r="H4" s="6">
        <f t="shared" si="0"/>
        <v>804.28</v>
      </c>
      <c r="I4" s="7" t="s">
        <v>12</v>
      </c>
    </row>
    <row r="5" spans="1:9" x14ac:dyDescent="0.3">
      <c r="A5" s="8">
        <v>4</v>
      </c>
      <c r="B5" s="9">
        <v>45295</v>
      </c>
      <c r="C5" s="10" t="s">
        <v>19</v>
      </c>
      <c r="D5" s="8" t="s">
        <v>20</v>
      </c>
      <c r="E5" s="8" t="s">
        <v>18</v>
      </c>
      <c r="F5" s="8">
        <v>5</v>
      </c>
      <c r="G5" s="11">
        <v>759.37</v>
      </c>
      <c r="H5" s="12">
        <f t="shared" si="0"/>
        <v>3796.85</v>
      </c>
      <c r="I5" s="13" t="s">
        <v>12</v>
      </c>
    </row>
    <row r="6" spans="1:9" x14ac:dyDescent="0.3">
      <c r="A6" s="2">
        <v>5</v>
      </c>
      <c r="B6" s="3">
        <v>45464</v>
      </c>
      <c r="C6" s="4" t="s">
        <v>13</v>
      </c>
      <c r="D6" s="2" t="s">
        <v>17</v>
      </c>
      <c r="E6" s="2" t="s">
        <v>21</v>
      </c>
      <c r="F6" s="2">
        <v>13</v>
      </c>
      <c r="G6" s="5">
        <v>393.29</v>
      </c>
      <c r="H6" s="6">
        <f t="shared" si="0"/>
        <v>5112.7700000000004</v>
      </c>
      <c r="I6" s="7" t="s">
        <v>12</v>
      </c>
    </row>
    <row r="7" spans="1:9" x14ac:dyDescent="0.3">
      <c r="A7" s="8">
        <v>6</v>
      </c>
      <c r="B7" s="9">
        <v>45601</v>
      </c>
      <c r="C7" s="10" t="s">
        <v>13</v>
      </c>
      <c r="D7" s="8" t="s">
        <v>17</v>
      </c>
      <c r="E7" s="8" t="s">
        <v>11</v>
      </c>
      <c r="F7" s="8">
        <v>6</v>
      </c>
      <c r="G7" s="11">
        <v>1158.98</v>
      </c>
      <c r="H7" s="12">
        <f t="shared" si="0"/>
        <v>6953.88</v>
      </c>
      <c r="I7" s="13" t="s">
        <v>12</v>
      </c>
    </row>
    <row r="8" spans="1:9" x14ac:dyDescent="0.3">
      <c r="A8" s="2">
        <v>7</v>
      </c>
      <c r="B8" s="3">
        <v>45485</v>
      </c>
      <c r="C8" s="4" t="s">
        <v>16</v>
      </c>
      <c r="D8" s="2" t="s">
        <v>20</v>
      </c>
      <c r="E8" s="2" t="s">
        <v>15</v>
      </c>
      <c r="F8" s="2">
        <v>15</v>
      </c>
      <c r="G8" s="5">
        <v>36.229999999999997</v>
      </c>
      <c r="H8" s="6">
        <f t="shared" si="0"/>
        <v>543.44999999999993</v>
      </c>
      <c r="I8" s="7" t="s">
        <v>12</v>
      </c>
    </row>
    <row r="9" spans="1:9" x14ac:dyDescent="0.3">
      <c r="A9" s="8">
        <v>8</v>
      </c>
      <c r="B9" s="9">
        <v>45587</v>
      </c>
      <c r="C9" s="10" t="s">
        <v>13</v>
      </c>
      <c r="D9" s="8" t="s">
        <v>10</v>
      </c>
      <c r="E9" s="8" t="s">
        <v>15</v>
      </c>
      <c r="F9" s="8">
        <v>6</v>
      </c>
      <c r="G9" s="11">
        <v>135.11000000000001</v>
      </c>
      <c r="H9" s="12">
        <f t="shared" si="0"/>
        <v>810.66000000000008</v>
      </c>
      <c r="I9" s="13" t="s">
        <v>12</v>
      </c>
    </row>
    <row r="10" spans="1:9" x14ac:dyDescent="0.3">
      <c r="A10" s="2">
        <v>9</v>
      </c>
      <c r="B10" s="3">
        <v>45411</v>
      </c>
      <c r="C10" s="4" t="s">
        <v>19</v>
      </c>
      <c r="D10" s="2" t="s">
        <v>20</v>
      </c>
      <c r="E10" s="2" t="s">
        <v>18</v>
      </c>
      <c r="F10" s="2">
        <v>2</v>
      </c>
      <c r="G10" s="5">
        <v>1018.45</v>
      </c>
      <c r="H10" s="6">
        <f t="shared" si="0"/>
        <v>2036.9</v>
      </c>
      <c r="I10" s="7" t="s">
        <v>12</v>
      </c>
    </row>
    <row r="11" spans="1:9" x14ac:dyDescent="0.3">
      <c r="A11" s="8">
        <v>10</v>
      </c>
      <c r="B11" s="9">
        <v>45375</v>
      </c>
      <c r="C11" s="10" t="s">
        <v>22</v>
      </c>
      <c r="D11" s="8" t="s">
        <v>14</v>
      </c>
      <c r="E11" s="8" t="s">
        <v>23</v>
      </c>
      <c r="F11" s="8">
        <v>6</v>
      </c>
      <c r="G11" s="11">
        <v>436.06</v>
      </c>
      <c r="H11" s="12">
        <f t="shared" si="0"/>
        <v>2616.36</v>
      </c>
      <c r="I11" s="13" t="s">
        <v>12</v>
      </c>
    </row>
    <row r="12" spans="1:9" x14ac:dyDescent="0.3">
      <c r="A12" s="2">
        <v>11</v>
      </c>
      <c r="B12" s="3">
        <v>45623</v>
      </c>
      <c r="C12" s="4" t="s">
        <v>16</v>
      </c>
      <c r="D12" s="2" t="s">
        <v>14</v>
      </c>
      <c r="E12" s="2" t="s">
        <v>21</v>
      </c>
      <c r="F12" s="2">
        <v>11</v>
      </c>
      <c r="G12" s="5">
        <v>721.09</v>
      </c>
      <c r="H12" s="6">
        <f t="shared" si="0"/>
        <v>7931.9900000000007</v>
      </c>
      <c r="I12" s="7" t="s">
        <v>12</v>
      </c>
    </row>
    <row r="13" spans="1:9" x14ac:dyDescent="0.3">
      <c r="A13" s="8">
        <v>12</v>
      </c>
      <c r="B13" s="9">
        <v>45528</v>
      </c>
      <c r="C13" s="10" t="s">
        <v>22</v>
      </c>
      <c r="D13" s="8" t="s">
        <v>14</v>
      </c>
      <c r="E13" s="8" t="s">
        <v>15</v>
      </c>
      <c r="F13" s="8">
        <v>3</v>
      </c>
      <c r="G13" s="11">
        <v>114.79</v>
      </c>
      <c r="H13" s="12">
        <f t="shared" si="0"/>
        <v>344.37</v>
      </c>
      <c r="I13" s="14" t="s">
        <v>24</v>
      </c>
    </row>
    <row r="14" spans="1:9" x14ac:dyDescent="0.3">
      <c r="A14" s="2">
        <v>13</v>
      </c>
      <c r="B14" s="3">
        <v>45320</v>
      </c>
      <c r="C14" s="4" t="s">
        <v>13</v>
      </c>
      <c r="D14" s="2" t="s">
        <v>20</v>
      </c>
      <c r="E14" s="2" t="s">
        <v>21</v>
      </c>
      <c r="F14" s="2">
        <v>13</v>
      </c>
      <c r="G14" s="5">
        <v>805.71</v>
      </c>
      <c r="H14" s="6">
        <f t="shared" si="0"/>
        <v>10474.23</v>
      </c>
      <c r="I14" s="7" t="s">
        <v>12</v>
      </c>
    </row>
    <row r="15" spans="1:9" x14ac:dyDescent="0.3">
      <c r="A15" s="8">
        <v>14</v>
      </c>
      <c r="B15" s="9">
        <v>45582</v>
      </c>
      <c r="C15" s="10" t="s">
        <v>9</v>
      </c>
      <c r="D15" s="8" t="s">
        <v>17</v>
      </c>
      <c r="E15" s="8" t="s">
        <v>23</v>
      </c>
      <c r="F15" s="8">
        <v>4</v>
      </c>
      <c r="G15" s="11">
        <v>270.48</v>
      </c>
      <c r="H15" s="12">
        <f t="shared" si="0"/>
        <v>1081.92</v>
      </c>
      <c r="I15" s="13" t="s">
        <v>12</v>
      </c>
    </row>
    <row r="16" spans="1:9" x14ac:dyDescent="0.3">
      <c r="A16" s="2">
        <v>15</v>
      </c>
      <c r="B16" s="3">
        <v>45526</v>
      </c>
      <c r="C16" s="4" t="s">
        <v>22</v>
      </c>
      <c r="D16" s="2" t="s">
        <v>14</v>
      </c>
      <c r="E16" s="2" t="s">
        <v>23</v>
      </c>
      <c r="F16" s="2">
        <v>11</v>
      </c>
      <c r="G16" s="5">
        <v>548.11</v>
      </c>
      <c r="H16" s="6">
        <f t="shared" si="0"/>
        <v>6029.21</v>
      </c>
      <c r="I16" s="7" t="s">
        <v>12</v>
      </c>
    </row>
    <row r="17" spans="1:9" x14ac:dyDescent="0.3">
      <c r="A17" s="8">
        <v>16</v>
      </c>
      <c r="B17" s="9">
        <v>45426</v>
      </c>
      <c r="C17" s="10" t="s">
        <v>19</v>
      </c>
      <c r="D17" s="8" t="s">
        <v>17</v>
      </c>
      <c r="E17" s="8" t="s">
        <v>18</v>
      </c>
      <c r="F17" s="8">
        <v>9</v>
      </c>
      <c r="G17" s="11">
        <v>995.99</v>
      </c>
      <c r="H17" s="12">
        <f t="shared" si="0"/>
        <v>8963.91</v>
      </c>
      <c r="I17" s="15" t="s">
        <v>25</v>
      </c>
    </row>
    <row r="18" spans="1:9" x14ac:dyDescent="0.3">
      <c r="A18" s="2">
        <v>17</v>
      </c>
      <c r="B18" s="3">
        <v>45552</v>
      </c>
      <c r="C18" s="4" t="s">
        <v>13</v>
      </c>
      <c r="D18" s="2" t="s">
        <v>10</v>
      </c>
      <c r="E18" s="2" t="s">
        <v>21</v>
      </c>
      <c r="F18" s="2">
        <v>3</v>
      </c>
      <c r="G18" s="5">
        <v>431.59</v>
      </c>
      <c r="H18" s="6">
        <f t="shared" si="0"/>
        <v>1294.77</v>
      </c>
      <c r="I18" s="16" t="s">
        <v>24</v>
      </c>
    </row>
    <row r="19" spans="1:9" x14ac:dyDescent="0.3">
      <c r="A19" s="8">
        <v>18</v>
      </c>
      <c r="B19" s="9">
        <v>45640</v>
      </c>
      <c r="C19" s="10" t="s">
        <v>16</v>
      </c>
      <c r="D19" s="8" t="s">
        <v>10</v>
      </c>
      <c r="E19" s="8" t="s">
        <v>11</v>
      </c>
      <c r="F19" s="8">
        <v>3</v>
      </c>
      <c r="G19" s="11">
        <v>952.84</v>
      </c>
      <c r="H19" s="12">
        <f t="shared" si="0"/>
        <v>2858.52</v>
      </c>
      <c r="I19" s="14" t="s">
        <v>24</v>
      </c>
    </row>
    <row r="20" spans="1:9" x14ac:dyDescent="0.3">
      <c r="A20" s="2">
        <v>19</v>
      </c>
      <c r="B20" s="3">
        <v>45562</v>
      </c>
      <c r="C20" s="4" t="s">
        <v>16</v>
      </c>
      <c r="D20" s="2" t="s">
        <v>10</v>
      </c>
      <c r="E20" s="2" t="s">
        <v>23</v>
      </c>
      <c r="F20" s="2">
        <v>8</v>
      </c>
      <c r="G20" s="5">
        <v>321.73</v>
      </c>
      <c r="H20" s="6">
        <f t="shared" si="0"/>
        <v>2573.84</v>
      </c>
      <c r="I20" s="7" t="s">
        <v>12</v>
      </c>
    </row>
    <row r="21" spans="1:9" x14ac:dyDescent="0.3">
      <c r="A21" s="8">
        <v>20</v>
      </c>
      <c r="B21" s="9">
        <v>45428</v>
      </c>
      <c r="C21" s="10" t="s">
        <v>13</v>
      </c>
      <c r="D21" s="8" t="s">
        <v>20</v>
      </c>
      <c r="E21" s="8" t="s">
        <v>11</v>
      </c>
      <c r="F21" s="8">
        <v>9</v>
      </c>
      <c r="G21" s="11">
        <v>1481.71</v>
      </c>
      <c r="H21" s="12">
        <f t="shared" si="0"/>
        <v>13335.39</v>
      </c>
      <c r="I21" s="13" t="s">
        <v>12</v>
      </c>
    </row>
    <row r="22" spans="1:9" x14ac:dyDescent="0.3">
      <c r="A22" s="2">
        <v>21</v>
      </c>
      <c r="B22" s="3">
        <v>45426</v>
      </c>
      <c r="C22" s="4" t="s">
        <v>9</v>
      </c>
      <c r="D22" s="2" t="s">
        <v>10</v>
      </c>
      <c r="E22" s="2" t="s">
        <v>23</v>
      </c>
      <c r="F22" s="2">
        <v>1</v>
      </c>
      <c r="G22" s="5">
        <v>221.17</v>
      </c>
      <c r="H22" s="6">
        <f t="shared" si="0"/>
        <v>221.17</v>
      </c>
      <c r="I22" s="17" t="s">
        <v>25</v>
      </c>
    </row>
    <row r="23" spans="1:9" x14ac:dyDescent="0.3">
      <c r="A23" s="8">
        <v>22</v>
      </c>
      <c r="B23" s="9">
        <v>45603</v>
      </c>
      <c r="C23" s="10" t="s">
        <v>9</v>
      </c>
      <c r="D23" s="8" t="s">
        <v>20</v>
      </c>
      <c r="E23" s="8" t="s">
        <v>21</v>
      </c>
      <c r="F23" s="8">
        <v>9</v>
      </c>
      <c r="G23" s="11">
        <v>805</v>
      </c>
      <c r="H23" s="12">
        <f t="shared" si="0"/>
        <v>7245</v>
      </c>
      <c r="I23" s="13" t="s">
        <v>12</v>
      </c>
    </row>
    <row r="24" spans="1:9" x14ac:dyDescent="0.3">
      <c r="A24" s="2">
        <v>23</v>
      </c>
      <c r="B24" s="3">
        <v>45563</v>
      </c>
      <c r="C24" s="4" t="s">
        <v>16</v>
      </c>
      <c r="D24" s="2" t="s">
        <v>20</v>
      </c>
      <c r="E24" s="2" t="s">
        <v>18</v>
      </c>
      <c r="F24" s="2">
        <v>13</v>
      </c>
      <c r="G24" s="5">
        <v>831.5</v>
      </c>
      <c r="H24" s="6">
        <f t="shared" si="0"/>
        <v>10809.5</v>
      </c>
      <c r="I24" s="7" t="s">
        <v>12</v>
      </c>
    </row>
    <row r="25" spans="1:9" x14ac:dyDescent="0.3">
      <c r="A25" s="8">
        <v>24</v>
      </c>
      <c r="B25" s="9">
        <v>45477</v>
      </c>
      <c r="C25" s="10" t="s">
        <v>9</v>
      </c>
      <c r="D25" s="8" t="s">
        <v>10</v>
      </c>
      <c r="E25" s="8" t="s">
        <v>23</v>
      </c>
      <c r="F25" s="8">
        <v>15</v>
      </c>
      <c r="G25" s="11">
        <v>158.76</v>
      </c>
      <c r="H25" s="12">
        <f t="shared" si="0"/>
        <v>2381.3999999999996</v>
      </c>
      <c r="I25" s="13" t="s">
        <v>12</v>
      </c>
    </row>
    <row r="26" spans="1:9" x14ac:dyDescent="0.3">
      <c r="A26" s="2">
        <v>25</v>
      </c>
      <c r="B26" s="3">
        <v>45335</v>
      </c>
      <c r="C26" s="4" t="s">
        <v>13</v>
      </c>
      <c r="D26" s="2" t="s">
        <v>14</v>
      </c>
      <c r="E26" s="2" t="s">
        <v>18</v>
      </c>
      <c r="F26" s="2">
        <v>2</v>
      </c>
      <c r="G26" s="5">
        <v>1102.4100000000001</v>
      </c>
      <c r="H26" s="6">
        <f t="shared" si="0"/>
        <v>2204.8200000000002</v>
      </c>
      <c r="I26" s="16" t="s">
        <v>24</v>
      </c>
    </row>
    <row r="27" spans="1:9" x14ac:dyDescent="0.3">
      <c r="A27" s="8">
        <v>26</v>
      </c>
      <c r="B27" s="9">
        <v>45376</v>
      </c>
      <c r="C27" s="10" t="s">
        <v>16</v>
      </c>
      <c r="D27" s="8" t="s">
        <v>17</v>
      </c>
      <c r="E27" s="8" t="s">
        <v>18</v>
      </c>
      <c r="F27" s="8">
        <v>9</v>
      </c>
      <c r="G27" s="11">
        <v>927.8</v>
      </c>
      <c r="H27" s="12">
        <f t="shared" si="0"/>
        <v>8350.1999999999989</v>
      </c>
      <c r="I27" s="13" t="s">
        <v>12</v>
      </c>
    </row>
    <row r="28" spans="1:9" x14ac:dyDescent="0.3">
      <c r="A28" s="2">
        <v>27</v>
      </c>
      <c r="B28" s="3">
        <v>45645</v>
      </c>
      <c r="C28" s="4" t="s">
        <v>22</v>
      </c>
      <c r="D28" s="2" t="s">
        <v>17</v>
      </c>
      <c r="E28" s="2" t="s">
        <v>18</v>
      </c>
      <c r="F28" s="2">
        <v>13</v>
      </c>
      <c r="G28" s="5">
        <v>1143.1300000000001</v>
      </c>
      <c r="H28" s="6">
        <f t="shared" si="0"/>
        <v>14860.690000000002</v>
      </c>
      <c r="I28" s="7" t="s">
        <v>12</v>
      </c>
    </row>
    <row r="29" spans="1:9" x14ac:dyDescent="0.3">
      <c r="A29" s="8">
        <v>28</v>
      </c>
      <c r="B29" s="9">
        <v>45523</v>
      </c>
      <c r="C29" s="10" t="s">
        <v>9</v>
      </c>
      <c r="D29" s="8" t="s">
        <v>14</v>
      </c>
      <c r="E29" s="8" t="s">
        <v>21</v>
      </c>
      <c r="F29" s="8">
        <v>9</v>
      </c>
      <c r="G29" s="11">
        <v>562.86</v>
      </c>
      <c r="H29" s="12">
        <f t="shared" si="0"/>
        <v>5065.74</v>
      </c>
      <c r="I29" s="13" t="s">
        <v>12</v>
      </c>
    </row>
    <row r="30" spans="1:9" x14ac:dyDescent="0.3">
      <c r="A30" s="2">
        <v>29</v>
      </c>
      <c r="B30" s="3">
        <v>45575</v>
      </c>
      <c r="C30" s="4" t="s">
        <v>16</v>
      </c>
      <c r="D30" s="2" t="s">
        <v>14</v>
      </c>
      <c r="E30" s="2" t="s">
        <v>11</v>
      </c>
      <c r="F30" s="2">
        <v>10</v>
      </c>
      <c r="G30" s="5">
        <v>1138.0899999999999</v>
      </c>
      <c r="H30" s="6">
        <f t="shared" si="0"/>
        <v>11380.9</v>
      </c>
      <c r="I30" s="7" t="s">
        <v>12</v>
      </c>
    </row>
    <row r="31" spans="1:9" x14ac:dyDescent="0.3">
      <c r="A31" s="8">
        <v>30</v>
      </c>
      <c r="B31" s="9">
        <v>45322</v>
      </c>
      <c r="C31" s="10" t="s">
        <v>13</v>
      </c>
      <c r="D31" s="8" t="s">
        <v>10</v>
      </c>
      <c r="E31" s="8" t="s">
        <v>11</v>
      </c>
      <c r="F31" s="8">
        <v>11</v>
      </c>
      <c r="G31" s="11">
        <v>870.99</v>
      </c>
      <c r="H31" s="12">
        <f t="shared" si="0"/>
        <v>9580.89</v>
      </c>
      <c r="I31" s="13" t="s">
        <v>12</v>
      </c>
    </row>
    <row r="32" spans="1:9" x14ac:dyDescent="0.3">
      <c r="A32" s="2">
        <v>31</v>
      </c>
      <c r="B32" s="3">
        <v>45434</v>
      </c>
      <c r="C32" s="4" t="s">
        <v>9</v>
      </c>
      <c r="D32" s="2" t="s">
        <v>14</v>
      </c>
      <c r="E32" s="2" t="s">
        <v>21</v>
      </c>
      <c r="F32" s="2">
        <v>4</v>
      </c>
      <c r="G32" s="5">
        <v>342.51</v>
      </c>
      <c r="H32" s="6">
        <f t="shared" si="0"/>
        <v>1370.04</v>
      </c>
      <c r="I32" s="16" t="s">
        <v>24</v>
      </c>
    </row>
    <row r="33" spans="1:9" x14ac:dyDescent="0.3">
      <c r="A33" s="8">
        <v>32</v>
      </c>
      <c r="B33" s="9">
        <v>45534</v>
      </c>
      <c r="C33" s="10" t="s">
        <v>9</v>
      </c>
      <c r="D33" s="8" t="s">
        <v>10</v>
      </c>
      <c r="E33" s="8" t="s">
        <v>15</v>
      </c>
      <c r="F33" s="8">
        <v>4</v>
      </c>
      <c r="G33" s="11">
        <v>94.91</v>
      </c>
      <c r="H33" s="12">
        <f t="shared" si="0"/>
        <v>379.64</v>
      </c>
      <c r="I33" s="14" t="s">
        <v>24</v>
      </c>
    </row>
    <row r="34" spans="1:9" x14ac:dyDescent="0.3">
      <c r="A34" s="2">
        <v>33</v>
      </c>
      <c r="B34" s="3">
        <v>45508</v>
      </c>
      <c r="C34" s="4" t="s">
        <v>19</v>
      </c>
      <c r="D34" s="2" t="s">
        <v>10</v>
      </c>
      <c r="E34" s="2" t="s">
        <v>11</v>
      </c>
      <c r="F34" s="2">
        <v>6</v>
      </c>
      <c r="G34" s="5">
        <v>1458.98</v>
      </c>
      <c r="H34" s="6">
        <f t="shared" si="0"/>
        <v>8753.880000000001</v>
      </c>
      <c r="I34" s="16" t="s">
        <v>24</v>
      </c>
    </row>
    <row r="35" spans="1:9" x14ac:dyDescent="0.3">
      <c r="A35" s="8">
        <v>34</v>
      </c>
      <c r="B35" s="9">
        <v>45465</v>
      </c>
      <c r="C35" s="10" t="s">
        <v>9</v>
      </c>
      <c r="D35" s="8" t="s">
        <v>14</v>
      </c>
      <c r="E35" s="8" t="s">
        <v>11</v>
      </c>
      <c r="F35" s="8">
        <v>12</v>
      </c>
      <c r="G35" s="11">
        <v>860.61</v>
      </c>
      <c r="H35" s="12">
        <f t="shared" si="0"/>
        <v>10327.32</v>
      </c>
      <c r="I35" s="13" t="s">
        <v>12</v>
      </c>
    </row>
    <row r="36" spans="1:9" x14ac:dyDescent="0.3">
      <c r="A36" s="2">
        <v>35</v>
      </c>
      <c r="B36" s="3">
        <v>45508</v>
      </c>
      <c r="C36" s="4" t="s">
        <v>22</v>
      </c>
      <c r="D36" s="2" t="s">
        <v>17</v>
      </c>
      <c r="E36" s="2" t="s">
        <v>18</v>
      </c>
      <c r="F36" s="2">
        <v>3</v>
      </c>
      <c r="G36" s="5">
        <v>829.03</v>
      </c>
      <c r="H36" s="6">
        <f t="shared" si="0"/>
        <v>2487.09</v>
      </c>
      <c r="I36" s="7" t="s">
        <v>12</v>
      </c>
    </row>
    <row r="37" spans="1:9" x14ac:dyDescent="0.3">
      <c r="A37" s="8">
        <v>36</v>
      </c>
      <c r="B37" s="9">
        <v>45518</v>
      </c>
      <c r="C37" s="10" t="s">
        <v>13</v>
      </c>
      <c r="D37" s="8" t="s">
        <v>10</v>
      </c>
      <c r="E37" s="8" t="s">
        <v>18</v>
      </c>
      <c r="F37" s="8">
        <v>2</v>
      </c>
      <c r="G37" s="11">
        <v>1099.5899999999999</v>
      </c>
      <c r="H37" s="12">
        <f t="shared" si="0"/>
        <v>2199.1799999999998</v>
      </c>
      <c r="I37" s="15" t="s">
        <v>25</v>
      </c>
    </row>
    <row r="38" spans="1:9" x14ac:dyDescent="0.3">
      <c r="A38" s="2">
        <v>37</v>
      </c>
      <c r="B38" s="3">
        <v>45413</v>
      </c>
      <c r="C38" s="4" t="s">
        <v>19</v>
      </c>
      <c r="D38" s="2" t="s">
        <v>17</v>
      </c>
      <c r="E38" s="2" t="s">
        <v>15</v>
      </c>
      <c r="F38" s="2">
        <v>2</v>
      </c>
      <c r="G38" s="5">
        <v>128.68</v>
      </c>
      <c r="H38" s="6">
        <f t="shared" si="0"/>
        <v>257.36</v>
      </c>
      <c r="I38" s="7" t="s">
        <v>12</v>
      </c>
    </row>
    <row r="39" spans="1:9" x14ac:dyDescent="0.3">
      <c r="A39" s="8">
        <v>38</v>
      </c>
      <c r="B39" s="9">
        <v>45322</v>
      </c>
      <c r="C39" s="10" t="s">
        <v>19</v>
      </c>
      <c r="D39" s="8" t="s">
        <v>10</v>
      </c>
      <c r="E39" s="8" t="s">
        <v>23</v>
      </c>
      <c r="F39" s="8">
        <v>7</v>
      </c>
      <c r="G39" s="11">
        <v>246.19</v>
      </c>
      <c r="H39" s="12">
        <f t="shared" si="0"/>
        <v>1723.33</v>
      </c>
      <c r="I39" s="13" t="s">
        <v>12</v>
      </c>
    </row>
    <row r="40" spans="1:9" x14ac:dyDescent="0.3">
      <c r="A40" s="2">
        <v>39</v>
      </c>
      <c r="B40" s="3">
        <v>45524</v>
      </c>
      <c r="C40" s="4" t="s">
        <v>19</v>
      </c>
      <c r="D40" s="2" t="s">
        <v>17</v>
      </c>
      <c r="E40" s="2" t="s">
        <v>23</v>
      </c>
      <c r="F40" s="2">
        <v>13</v>
      </c>
      <c r="G40" s="5">
        <v>269.33999999999997</v>
      </c>
      <c r="H40" s="6">
        <f t="shared" si="0"/>
        <v>3501.4199999999996</v>
      </c>
      <c r="I40" s="7" t="s">
        <v>12</v>
      </c>
    </row>
    <row r="41" spans="1:9" x14ac:dyDescent="0.3">
      <c r="A41" s="8">
        <v>40</v>
      </c>
      <c r="B41" s="9">
        <v>45321</v>
      </c>
      <c r="C41" s="10" t="s">
        <v>16</v>
      </c>
      <c r="D41" s="8" t="s">
        <v>10</v>
      </c>
      <c r="E41" s="8" t="s">
        <v>18</v>
      </c>
      <c r="F41" s="8">
        <v>4</v>
      </c>
      <c r="G41" s="11">
        <v>551.91999999999996</v>
      </c>
      <c r="H41" s="12">
        <f t="shared" si="0"/>
        <v>2207.6799999999998</v>
      </c>
      <c r="I41" s="15" t="s">
        <v>25</v>
      </c>
    </row>
    <row r="42" spans="1:9" x14ac:dyDescent="0.3">
      <c r="A42" s="2">
        <v>41</v>
      </c>
      <c r="B42" s="3">
        <v>45536</v>
      </c>
      <c r="C42" s="4" t="s">
        <v>16</v>
      </c>
      <c r="D42" s="2" t="s">
        <v>14</v>
      </c>
      <c r="E42" s="2" t="s">
        <v>21</v>
      </c>
      <c r="F42" s="2">
        <v>10</v>
      </c>
      <c r="G42" s="5">
        <v>334.3</v>
      </c>
      <c r="H42" s="6">
        <f t="shared" si="0"/>
        <v>3343</v>
      </c>
      <c r="I42" s="17" t="s">
        <v>25</v>
      </c>
    </row>
    <row r="43" spans="1:9" x14ac:dyDescent="0.3">
      <c r="A43" s="8">
        <v>42</v>
      </c>
      <c r="B43" s="9">
        <v>45387</v>
      </c>
      <c r="C43" s="10" t="s">
        <v>16</v>
      </c>
      <c r="D43" s="8" t="s">
        <v>10</v>
      </c>
      <c r="E43" s="8" t="s">
        <v>11</v>
      </c>
      <c r="F43" s="8">
        <v>2</v>
      </c>
      <c r="G43" s="11">
        <v>1760.78</v>
      </c>
      <c r="H43" s="12">
        <f t="shared" si="0"/>
        <v>3521.56</v>
      </c>
      <c r="I43" s="13" t="s">
        <v>12</v>
      </c>
    </row>
    <row r="44" spans="1:9" x14ac:dyDescent="0.3">
      <c r="A44" s="2">
        <v>43</v>
      </c>
      <c r="B44" s="3">
        <v>45583</v>
      </c>
      <c r="C44" s="4" t="s">
        <v>16</v>
      </c>
      <c r="D44" s="2" t="s">
        <v>10</v>
      </c>
      <c r="E44" s="2" t="s">
        <v>18</v>
      </c>
      <c r="F44" s="2">
        <v>15</v>
      </c>
      <c r="G44" s="5">
        <v>723.02</v>
      </c>
      <c r="H44" s="6">
        <f t="shared" si="0"/>
        <v>10845.3</v>
      </c>
      <c r="I44" s="7" t="s">
        <v>12</v>
      </c>
    </row>
    <row r="45" spans="1:9" x14ac:dyDescent="0.3">
      <c r="A45" s="8">
        <v>44</v>
      </c>
      <c r="B45" s="9">
        <v>45590</v>
      </c>
      <c r="C45" s="10" t="s">
        <v>16</v>
      </c>
      <c r="D45" s="8" t="s">
        <v>20</v>
      </c>
      <c r="E45" s="8" t="s">
        <v>15</v>
      </c>
      <c r="F45" s="8">
        <v>11</v>
      </c>
      <c r="G45" s="11">
        <v>30.66</v>
      </c>
      <c r="H45" s="12">
        <f t="shared" si="0"/>
        <v>337.26</v>
      </c>
      <c r="I45" s="15" t="s">
        <v>25</v>
      </c>
    </row>
    <row r="46" spans="1:9" x14ac:dyDescent="0.3">
      <c r="A46" s="2">
        <v>45</v>
      </c>
      <c r="B46" s="3">
        <v>45452</v>
      </c>
      <c r="C46" s="4" t="s">
        <v>22</v>
      </c>
      <c r="D46" s="2" t="s">
        <v>17</v>
      </c>
      <c r="E46" s="2" t="s">
        <v>21</v>
      </c>
      <c r="F46" s="2">
        <v>12</v>
      </c>
      <c r="G46" s="5">
        <v>422.56</v>
      </c>
      <c r="H46" s="6">
        <f t="shared" si="0"/>
        <v>5070.72</v>
      </c>
      <c r="I46" s="7" t="s">
        <v>12</v>
      </c>
    </row>
    <row r="47" spans="1:9" x14ac:dyDescent="0.3">
      <c r="A47" s="8">
        <v>46</v>
      </c>
      <c r="B47" s="9">
        <v>45526</v>
      </c>
      <c r="C47" s="10" t="s">
        <v>13</v>
      </c>
      <c r="D47" s="8" t="s">
        <v>10</v>
      </c>
      <c r="E47" s="8" t="s">
        <v>18</v>
      </c>
      <c r="F47" s="8">
        <v>5</v>
      </c>
      <c r="G47" s="11">
        <v>937.35</v>
      </c>
      <c r="H47" s="12">
        <f t="shared" si="0"/>
        <v>4686.75</v>
      </c>
      <c r="I47" s="13" t="s">
        <v>12</v>
      </c>
    </row>
    <row r="48" spans="1:9" x14ac:dyDescent="0.3">
      <c r="A48" s="2">
        <v>47</v>
      </c>
      <c r="B48" s="3">
        <v>45343</v>
      </c>
      <c r="C48" s="4" t="s">
        <v>16</v>
      </c>
      <c r="D48" s="2" t="s">
        <v>14</v>
      </c>
      <c r="E48" s="2" t="s">
        <v>23</v>
      </c>
      <c r="F48" s="2">
        <v>10</v>
      </c>
      <c r="G48" s="5">
        <v>429.52</v>
      </c>
      <c r="H48" s="6">
        <f t="shared" si="0"/>
        <v>4295.2</v>
      </c>
      <c r="I48" s="7" t="s">
        <v>12</v>
      </c>
    </row>
    <row r="49" spans="1:9" x14ac:dyDescent="0.3">
      <c r="A49" s="8">
        <v>48</v>
      </c>
      <c r="B49" s="9">
        <v>45470</v>
      </c>
      <c r="C49" s="10" t="s">
        <v>9</v>
      </c>
      <c r="D49" s="8" t="s">
        <v>20</v>
      </c>
      <c r="E49" s="8" t="s">
        <v>15</v>
      </c>
      <c r="F49" s="8">
        <v>15</v>
      </c>
      <c r="G49" s="11">
        <v>54.48</v>
      </c>
      <c r="H49" s="12">
        <f t="shared" si="0"/>
        <v>817.19999999999993</v>
      </c>
      <c r="I49" s="13" t="s">
        <v>12</v>
      </c>
    </row>
    <row r="50" spans="1:9" x14ac:dyDescent="0.3">
      <c r="A50" s="2">
        <v>49</v>
      </c>
      <c r="B50" s="3">
        <v>45570</v>
      </c>
      <c r="C50" s="4" t="s">
        <v>16</v>
      </c>
      <c r="D50" s="2" t="s">
        <v>10</v>
      </c>
      <c r="E50" s="2" t="s">
        <v>21</v>
      </c>
      <c r="F50" s="2">
        <v>14</v>
      </c>
      <c r="G50" s="5">
        <v>394.65</v>
      </c>
      <c r="H50" s="6">
        <f t="shared" si="0"/>
        <v>5525.0999999999995</v>
      </c>
      <c r="I50" s="7" t="s">
        <v>12</v>
      </c>
    </row>
    <row r="51" spans="1:9" x14ac:dyDescent="0.3">
      <c r="A51" s="8">
        <v>50</v>
      </c>
      <c r="B51" s="9">
        <v>45345</v>
      </c>
      <c r="C51" s="10" t="s">
        <v>22</v>
      </c>
      <c r="D51" s="8" t="s">
        <v>10</v>
      </c>
      <c r="E51" s="8" t="s">
        <v>15</v>
      </c>
      <c r="F51" s="8">
        <v>11</v>
      </c>
      <c r="G51" s="11">
        <v>58.92</v>
      </c>
      <c r="H51" s="12">
        <f t="shared" si="0"/>
        <v>648.12</v>
      </c>
      <c r="I51" s="13" t="s">
        <v>12</v>
      </c>
    </row>
    <row r="52" spans="1:9" x14ac:dyDescent="0.3">
      <c r="A52" s="2">
        <v>51</v>
      </c>
      <c r="B52" s="3">
        <v>45431</v>
      </c>
      <c r="C52" s="4" t="s">
        <v>16</v>
      </c>
      <c r="D52" s="2" t="s">
        <v>14</v>
      </c>
      <c r="E52" s="2" t="s">
        <v>11</v>
      </c>
      <c r="F52" s="2">
        <v>3</v>
      </c>
      <c r="G52" s="5">
        <v>1542.42</v>
      </c>
      <c r="H52" s="6">
        <f t="shared" si="0"/>
        <v>4627.26</v>
      </c>
      <c r="I52" s="7" t="s">
        <v>12</v>
      </c>
    </row>
    <row r="53" spans="1:9" x14ac:dyDescent="0.3">
      <c r="A53" s="8">
        <v>52</v>
      </c>
      <c r="B53" s="9">
        <v>45427</v>
      </c>
      <c r="C53" s="10" t="s">
        <v>19</v>
      </c>
      <c r="D53" s="8" t="s">
        <v>20</v>
      </c>
      <c r="E53" s="8" t="s">
        <v>21</v>
      </c>
      <c r="F53" s="8">
        <v>11</v>
      </c>
      <c r="G53" s="11">
        <v>422.16</v>
      </c>
      <c r="H53" s="12">
        <f t="shared" si="0"/>
        <v>4643.76</v>
      </c>
      <c r="I53" s="15" t="s">
        <v>25</v>
      </c>
    </row>
    <row r="54" spans="1:9" x14ac:dyDescent="0.3">
      <c r="A54" s="2">
        <v>53</v>
      </c>
      <c r="B54" s="3">
        <v>45433</v>
      </c>
      <c r="C54" s="4" t="s">
        <v>13</v>
      </c>
      <c r="D54" s="2" t="s">
        <v>20</v>
      </c>
      <c r="E54" s="2" t="s">
        <v>11</v>
      </c>
      <c r="F54" s="2">
        <v>7</v>
      </c>
      <c r="G54" s="5">
        <v>892.3</v>
      </c>
      <c r="H54" s="6">
        <f t="shared" si="0"/>
        <v>6246.0999999999995</v>
      </c>
      <c r="I54" s="7" t="s">
        <v>12</v>
      </c>
    </row>
    <row r="55" spans="1:9" x14ac:dyDescent="0.3">
      <c r="A55" s="8">
        <v>54</v>
      </c>
      <c r="B55" s="9">
        <v>45374</v>
      </c>
      <c r="C55" s="10" t="s">
        <v>16</v>
      </c>
      <c r="D55" s="8" t="s">
        <v>17</v>
      </c>
      <c r="E55" s="8" t="s">
        <v>18</v>
      </c>
      <c r="F55" s="8">
        <v>5</v>
      </c>
      <c r="G55" s="11">
        <v>909.69</v>
      </c>
      <c r="H55" s="12">
        <f t="shared" si="0"/>
        <v>4548.4500000000007</v>
      </c>
      <c r="I55" s="14" t="s">
        <v>24</v>
      </c>
    </row>
    <row r="56" spans="1:9" x14ac:dyDescent="0.3">
      <c r="A56" s="2">
        <v>55</v>
      </c>
      <c r="B56" s="3">
        <v>45645</v>
      </c>
      <c r="C56" s="4" t="s">
        <v>16</v>
      </c>
      <c r="D56" s="2" t="s">
        <v>10</v>
      </c>
      <c r="E56" s="2" t="s">
        <v>15</v>
      </c>
      <c r="F56" s="2">
        <v>2</v>
      </c>
      <c r="G56" s="5">
        <v>21.26</v>
      </c>
      <c r="H56" s="6">
        <f t="shared" si="0"/>
        <v>42.52</v>
      </c>
      <c r="I56" s="7" t="s">
        <v>12</v>
      </c>
    </row>
    <row r="57" spans="1:9" x14ac:dyDescent="0.3">
      <c r="A57" s="8">
        <v>56</v>
      </c>
      <c r="B57" s="9">
        <v>45512</v>
      </c>
      <c r="C57" s="10" t="s">
        <v>13</v>
      </c>
      <c r="D57" s="8" t="s">
        <v>20</v>
      </c>
      <c r="E57" s="8" t="s">
        <v>21</v>
      </c>
      <c r="F57" s="8">
        <v>3</v>
      </c>
      <c r="G57" s="11">
        <v>649.51</v>
      </c>
      <c r="H57" s="12">
        <f t="shared" si="0"/>
        <v>1948.53</v>
      </c>
      <c r="I57" s="13" t="s">
        <v>12</v>
      </c>
    </row>
    <row r="58" spans="1:9" x14ac:dyDescent="0.3">
      <c r="A58" s="2">
        <v>57</v>
      </c>
      <c r="B58" s="3">
        <v>45312</v>
      </c>
      <c r="C58" s="4" t="s">
        <v>9</v>
      </c>
      <c r="D58" s="2" t="s">
        <v>14</v>
      </c>
      <c r="E58" s="2" t="s">
        <v>21</v>
      </c>
      <c r="F58" s="2">
        <v>13</v>
      </c>
      <c r="G58" s="5">
        <v>839.39</v>
      </c>
      <c r="H58" s="6">
        <f t="shared" si="0"/>
        <v>10912.07</v>
      </c>
      <c r="I58" s="7" t="s">
        <v>12</v>
      </c>
    </row>
    <row r="59" spans="1:9" x14ac:dyDescent="0.3">
      <c r="A59" s="8">
        <v>58</v>
      </c>
      <c r="B59" s="9">
        <v>45500</v>
      </c>
      <c r="C59" s="10" t="s">
        <v>9</v>
      </c>
      <c r="D59" s="8" t="s">
        <v>14</v>
      </c>
      <c r="E59" s="8" t="s">
        <v>11</v>
      </c>
      <c r="F59" s="8">
        <v>9</v>
      </c>
      <c r="G59" s="11">
        <v>1153.68</v>
      </c>
      <c r="H59" s="12">
        <f t="shared" si="0"/>
        <v>10383.120000000001</v>
      </c>
      <c r="I59" s="15" t="s">
        <v>25</v>
      </c>
    </row>
    <row r="60" spans="1:9" x14ac:dyDescent="0.3">
      <c r="A60" s="2">
        <v>59</v>
      </c>
      <c r="B60" s="3">
        <v>45382</v>
      </c>
      <c r="C60" s="4" t="s">
        <v>13</v>
      </c>
      <c r="D60" s="2" t="s">
        <v>14</v>
      </c>
      <c r="E60" s="2" t="s">
        <v>18</v>
      </c>
      <c r="F60" s="2">
        <v>13</v>
      </c>
      <c r="G60" s="5">
        <v>1180.96</v>
      </c>
      <c r="H60" s="6">
        <f t="shared" si="0"/>
        <v>15352.48</v>
      </c>
      <c r="I60" s="16" t="s">
        <v>24</v>
      </c>
    </row>
    <row r="61" spans="1:9" x14ac:dyDescent="0.3">
      <c r="A61" s="8">
        <v>60</v>
      </c>
      <c r="B61" s="9">
        <v>45634</v>
      </c>
      <c r="C61" s="10" t="s">
        <v>22</v>
      </c>
      <c r="D61" s="8" t="s">
        <v>14</v>
      </c>
      <c r="E61" s="8" t="s">
        <v>21</v>
      </c>
      <c r="F61" s="8">
        <v>7</v>
      </c>
      <c r="G61" s="11">
        <v>769.43</v>
      </c>
      <c r="H61" s="12">
        <f t="shared" si="0"/>
        <v>5386.0099999999993</v>
      </c>
      <c r="I61" s="13" t="s">
        <v>12</v>
      </c>
    </row>
    <row r="62" spans="1:9" x14ac:dyDescent="0.3">
      <c r="A62" s="2">
        <v>61</v>
      </c>
      <c r="B62" s="3">
        <v>45532</v>
      </c>
      <c r="C62" s="4" t="s">
        <v>9</v>
      </c>
      <c r="D62" s="2" t="s">
        <v>17</v>
      </c>
      <c r="E62" s="2" t="s">
        <v>11</v>
      </c>
      <c r="F62" s="2">
        <v>1</v>
      </c>
      <c r="G62" s="5">
        <v>1182.54</v>
      </c>
      <c r="H62" s="6">
        <f t="shared" si="0"/>
        <v>1182.54</v>
      </c>
      <c r="I62" s="7" t="s">
        <v>12</v>
      </c>
    </row>
    <row r="63" spans="1:9" x14ac:dyDescent="0.3">
      <c r="A63" s="8">
        <v>62</v>
      </c>
      <c r="B63" s="9">
        <v>45408</v>
      </c>
      <c r="C63" s="10" t="s">
        <v>13</v>
      </c>
      <c r="D63" s="8" t="s">
        <v>14</v>
      </c>
      <c r="E63" s="8" t="s">
        <v>21</v>
      </c>
      <c r="F63" s="8">
        <v>13</v>
      </c>
      <c r="G63" s="11">
        <v>483.11</v>
      </c>
      <c r="H63" s="12">
        <f t="shared" si="0"/>
        <v>6280.43</v>
      </c>
      <c r="I63" s="13" t="s">
        <v>12</v>
      </c>
    </row>
    <row r="64" spans="1:9" x14ac:dyDescent="0.3">
      <c r="A64" s="2">
        <v>63</v>
      </c>
      <c r="B64" s="3">
        <v>45327</v>
      </c>
      <c r="C64" s="4" t="s">
        <v>22</v>
      </c>
      <c r="D64" s="2" t="s">
        <v>17</v>
      </c>
      <c r="E64" s="2" t="s">
        <v>23</v>
      </c>
      <c r="F64" s="2">
        <v>14</v>
      </c>
      <c r="G64" s="5">
        <v>297.72000000000003</v>
      </c>
      <c r="H64" s="6">
        <f t="shared" si="0"/>
        <v>4168.08</v>
      </c>
      <c r="I64" s="7" t="s">
        <v>12</v>
      </c>
    </row>
    <row r="65" spans="1:9" x14ac:dyDescent="0.3">
      <c r="A65" s="8">
        <v>64</v>
      </c>
      <c r="B65" s="9">
        <v>45351</v>
      </c>
      <c r="C65" s="10" t="s">
        <v>9</v>
      </c>
      <c r="D65" s="8" t="s">
        <v>20</v>
      </c>
      <c r="E65" s="8" t="s">
        <v>15</v>
      </c>
      <c r="F65" s="8">
        <v>1</v>
      </c>
      <c r="G65" s="11">
        <v>63.05</v>
      </c>
      <c r="H65" s="12">
        <f t="shared" si="0"/>
        <v>63.05</v>
      </c>
      <c r="I65" s="13" t="s">
        <v>12</v>
      </c>
    </row>
    <row r="66" spans="1:9" x14ac:dyDescent="0.3">
      <c r="A66" s="2">
        <v>65</v>
      </c>
      <c r="B66" s="3">
        <v>45468</v>
      </c>
      <c r="C66" s="4" t="s">
        <v>19</v>
      </c>
      <c r="D66" s="2" t="s">
        <v>10</v>
      </c>
      <c r="E66" s="2" t="s">
        <v>11</v>
      </c>
      <c r="F66" s="2">
        <v>7</v>
      </c>
      <c r="G66" s="5">
        <v>908.4</v>
      </c>
      <c r="H66" s="6">
        <f t="shared" ref="H66:H129" si="1">F66*G66</f>
        <v>6358.8</v>
      </c>
      <c r="I66" s="7" t="s">
        <v>12</v>
      </c>
    </row>
    <row r="67" spans="1:9" x14ac:dyDescent="0.3">
      <c r="A67" s="8">
        <v>66</v>
      </c>
      <c r="B67" s="9">
        <v>45422</v>
      </c>
      <c r="C67" s="10" t="s">
        <v>19</v>
      </c>
      <c r="D67" s="8" t="s">
        <v>10</v>
      </c>
      <c r="E67" s="8" t="s">
        <v>23</v>
      </c>
      <c r="F67" s="8">
        <v>4</v>
      </c>
      <c r="G67" s="11">
        <v>554.78</v>
      </c>
      <c r="H67" s="12">
        <f t="shared" si="1"/>
        <v>2219.12</v>
      </c>
      <c r="I67" s="13" t="s">
        <v>12</v>
      </c>
    </row>
    <row r="68" spans="1:9" x14ac:dyDescent="0.3">
      <c r="A68" s="2">
        <v>67</v>
      </c>
      <c r="B68" s="3">
        <v>45643</v>
      </c>
      <c r="C68" s="4" t="s">
        <v>22</v>
      </c>
      <c r="D68" s="2" t="s">
        <v>17</v>
      </c>
      <c r="E68" s="2" t="s">
        <v>15</v>
      </c>
      <c r="F68" s="2">
        <v>9</v>
      </c>
      <c r="G68" s="5">
        <v>140.32</v>
      </c>
      <c r="H68" s="6">
        <f t="shared" si="1"/>
        <v>1262.8799999999999</v>
      </c>
      <c r="I68" s="7" t="s">
        <v>12</v>
      </c>
    </row>
    <row r="69" spans="1:9" x14ac:dyDescent="0.3">
      <c r="A69" s="8">
        <v>68</v>
      </c>
      <c r="B69" s="9">
        <v>45461</v>
      </c>
      <c r="C69" s="10" t="s">
        <v>22</v>
      </c>
      <c r="D69" s="8" t="s">
        <v>10</v>
      </c>
      <c r="E69" s="8" t="s">
        <v>11</v>
      </c>
      <c r="F69" s="8">
        <v>15</v>
      </c>
      <c r="G69" s="11">
        <v>1748.87</v>
      </c>
      <c r="H69" s="12">
        <f t="shared" si="1"/>
        <v>26233.05</v>
      </c>
      <c r="I69" s="15" t="s">
        <v>25</v>
      </c>
    </row>
    <row r="70" spans="1:9" x14ac:dyDescent="0.3">
      <c r="A70" s="2">
        <v>69</v>
      </c>
      <c r="B70" s="3">
        <v>45501</v>
      </c>
      <c r="C70" s="4" t="s">
        <v>19</v>
      </c>
      <c r="D70" s="2" t="s">
        <v>20</v>
      </c>
      <c r="E70" s="2" t="s">
        <v>21</v>
      </c>
      <c r="F70" s="2">
        <v>11</v>
      </c>
      <c r="G70" s="5">
        <v>604.27</v>
      </c>
      <c r="H70" s="6">
        <f t="shared" si="1"/>
        <v>6646.9699999999993</v>
      </c>
      <c r="I70" s="7" t="s">
        <v>12</v>
      </c>
    </row>
    <row r="71" spans="1:9" x14ac:dyDescent="0.3">
      <c r="A71" s="8">
        <v>70</v>
      </c>
      <c r="B71" s="9">
        <v>45632</v>
      </c>
      <c r="C71" s="10" t="s">
        <v>9</v>
      </c>
      <c r="D71" s="8" t="s">
        <v>20</v>
      </c>
      <c r="E71" s="8" t="s">
        <v>15</v>
      </c>
      <c r="F71" s="8">
        <v>7</v>
      </c>
      <c r="G71" s="11">
        <v>36.549999999999997</v>
      </c>
      <c r="H71" s="12">
        <f t="shared" si="1"/>
        <v>255.84999999999997</v>
      </c>
      <c r="I71" s="14" t="s">
        <v>24</v>
      </c>
    </row>
    <row r="72" spans="1:9" x14ac:dyDescent="0.3">
      <c r="A72" s="2">
        <v>71</v>
      </c>
      <c r="B72" s="3">
        <v>45447</v>
      </c>
      <c r="C72" s="4" t="s">
        <v>9</v>
      </c>
      <c r="D72" s="2" t="s">
        <v>17</v>
      </c>
      <c r="E72" s="2" t="s">
        <v>23</v>
      </c>
      <c r="F72" s="2">
        <v>1</v>
      </c>
      <c r="G72" s="5">
        <v>396.57</v>
      </c>
      <c r="H72" s="6">
        <f t="shared" si="1"/>
        <v>396.57</v>
      </c>
      <c r="I72" s="7" t="s">
        <v>12</v>
      </c>
    </row>
    <row r="73" spans="1:9" x14ac:dyDescent="0.3">
      <c r="A73" s="8">
        <v>72</v>
      </c>
      <c r="B73" s="9">
        <v>45530</v>
      </c>
      <c r="C73" s="10" t="s">
        <v>19</v>
      </c>
      <c r="D73" s="8" t="s">
        <v>14</v>
      </c>
      <c r="E73" s="8" t="s">
        <v>15</v>
      </c>
      <c r="F73" s="8">
        <v>6</v>
      </c>
      <c r="G73" s="11">
        <v>98.87</v>
      </c>
      <c r="H73" s="12">
        <f t="shared" si="1"/>
        <v>593.22</v>
      </c>
      <c r="I73" s="14" t="s">
        <v>24</v>
      </c>
    </row>
    <row r="74" spans="1:9" x14ac:dyDescent="0.3">
      <c r="A74" s="2">
        <v>73</v>
      </c>
      <c r="B74" s="3">
        <v>45378</v>
      </c>
      <c r="C74" s="4" t="s">
        <v>22</v>
      </c>
      <c r="D74" s="2" t="s">
        <v>20</v>
      </c>
      <c r="E74" s="2" t="s">
        <v>15</v>
      </c>
      <c r="F74" s="2">
        <v>15</v>
      </c>
      <c r="G74" s="5">
        <v>81.510000000000005</v>
      </c>
      <c r="H74" s="6">
        <f t="shared" si="1"/>
        <v>1222.6500000000001</v>
      </c>
      <c r="I74" s="7" t="s">
        <v>12</v>
      </c>
    </row>
    <row r="75" spans="1:9" x14ac:dyDescent="0.3">
      <c r="A75" s="8">
        <v>74</v>
      </c>
      <c r="B75" s="9">
        <v>45412</v>
      </c>
      <c r="C75" s="10" t="s">
        <v>9</v>
      </c>
      <c r="D75" s="8" t="s">
        <v>14</v>
      </c>
      <c r="E75" s="8" t="s">
        <v>11</v>
      </c>
      <c r="F75" s="8">
        <v>13</v>
      </c>
      <c r="G75" s="11">
        <v>1618.42</v>
      </c>
      <c r="H75" s="12">
        <f t="shared" si="1"/>
        <v>21039.46</v>
      </c>
      <c r="I75" s="13" t="s">
        <v>12</v>
      </c>
    </row>
    <row r="76" spans="1:9" x14ac:dyDescent="0.3">
      <c r="A76" s="2">
        <v>75</v>
      </c>
      <c r="B76" s="3">
        <v>45535</v>
      </c>
      <c r="C76" s="4" t="s">
        <v>13</v>
      </c>
      <c r="D76" s="2" t="s">
        <v>17</v>
      </c>
      <c r="E76" s="2" t="s">
        <v>18</v>
      </c>
      <c r="F76" s="2">
        <v>4</v>
      </c>
      <c r="G76" s="5">
        <v>419.54</v>
      </c>
      <c r="H76" s="6">
        <f t="shared" si="1"/>
        <v>1678.16</v>
      </c>
      <c r="I76" s="17" t="s">
        <v>25</v>
      </c>
    </row>
    <row r="77" spans="1:9" x14ac:dyDescent="0.3">
      <c r="A77" s="8">
        <v>76</v>
      </c>
      <c r="B77" s="9">
        <v>45391</v>
      </c>
      <c r="C77" s="10" t="s">
        <v>19</v>
      </c>
      <c r="D77" s="8" t="s">
        <v>17</v>
      </c>
      <c r="E77" s="8" t="s">
        <v>23</v>
      </c>
      <c r="F77" s="8">
        <v>10</v>
      </c>
      <c r="G77" s="11">
        <v>548.76</v>
      </c>
      <c r="H77" s="12">
        <f t="shared" si="1"/>
        <v>5487.6</v>
      </c>
      <c r="I77" s="14" t="s">
        <v>24</v>
      </c>
    </row>
    <row r="78" spans="1:9" x14ac:dyDescent="0.3">
      <c r="A78" s="2">
        <v>77</v>
      </c>
      <c r="B78" s="3">
        <v>45294</v>
      </c>
      <c r="C78" s="4" t="s">
        <v>19</v>
      </c>
      <c r="D78" s="2" t="s">
        <v>14</v>
      </c>
      <c r="E78" s="2" t="s">
        <v>18</v>
      </c>
      <c r="F78" s="2">
        <v>12</v>
      </c>
      <c r="G78" s="5">
        <v>518.05999999999995</v>
      </c>
      <c r="H78" s="6">
        <f t="shared" si="1"/>
        <v>6216.7199999999993</v>
      </c>
      <c r="I78" s="7" t="s">
        <v>12</v>
      </c>
    </row>
    <row r="79" spans="1:9" x14ac:dyDescent="0.3">
      <c r="A79" s="8">
        <v>78</v>
      </c>
      <c r="B79" s="9">
        <v>45557</v>
      </c>
      <c r="C79" s="10" t="s">
        <v>13</v>
      </c>
      <c r="D79" s="8" t="s">
        <v>14</v>
      </c>
      <c r="E79" s="8" t="s">
        <v>18</v>
      </c>
      <c r="F79" s="8">
        <v>12</v>
      </c>
      <c r="G79" s="11">
        <v>1043.29</v>
      </c>
      <c r="H79" s="12">
        <f t="shared" si="1"/>
        <v>12519.48</v>
      </c>
      <c r="I79" s="14" t="s">
        <v>24</v>
      </c>
    </row>
    <row r="80" spans="1:9" x14ac:dyDescent="0.3">
      <c r="A80" s="2">
        <v>79</v>
      </c>
      <c r="B80" s="3">
        <v>45529</v>
      </c>
      <c r="C80" s="4" t="s">
        <v>16</v>
      </c>
      <c r="D80" s="2" t="s">
        <v>20</v>
      </c>
      <c r="E80" s="2" t="s">
        <v>11</v>
      </c>
      <c r="F80" s="2">
        <v>13</v>
      </c>
      <c r="G80" s="5">
        <v>1256.46</v>
      </c>
      <c r="H80" s="6">
        <f t="shared" si="1"/>
        <v>16333.98</v>
      </c>
      <c r="I80" s="17" t="s">
        <v>25</v>
      </c>
    </row>
    <row r="81" spans="1:9" x14ac:dyDescent="0.3">
      <c r="A81" s="8">
        <v>80</v>
      </c>
      <c r="B81" s="9">
        <v>45550</v>
      </c>
      <c r="C81" s="10" t="s">
        <v>16</v>
      </c>
      <c r="D81" s="8" t="s">
        <v>17</v>
      </c>
      <c r="E81" s="8" t="s">
        <v>23</v>
      </c>
      <c r="F81" s="8">
        <v>12</v>
      </c>
      <c r="G81" s="11">
        <v>425.69</v>
      </c>
      <c r="H81" s="12">
        <f t="shared" si="1"/>
        <v>5108.28</v>
      </c>
      <c r="I81" s="14" t="s">
        <v>24</v>
      </c>
    </row>
    <row r="82" spans="1:9" x14ac:dyDescent="0.3">
      <c r="A82" s="2">
        <v>81</v>
      </c>
      <c r="B82" s="3">
        <v>45522</v>
      </c>
      <c r="C82" s="4" t="s">
        <v>9</v>
      </c>
      <c r="D82" s="2" t="s">
        <v>20</v>
      </c>
      <c r="E82" s="2" t="s">
        <v>18</v>
      </c>
      <c r="F82" s="2">
        <v>8</v>
      </c>
      <c r="G82" s="5">
        <v>994.92</v>
      </c>
      <c r="H82" s="6">
        <f t="shared" si="1"/>
        <v>7959.36</v>
      </c>
      <c r="I82" s="7" t="s">
        <v>12</v>
      </c>
    </row>
    <row r="83" spans="1:9" x14ac:dyDescent="0.3">
      <c r="A83" s="8">
        <v>82</v>
      </c>
      <c r="B83" s="9">
        <v>45432</v>
      </c>
      <c r="C83" s="10" t="s">
        <v>13</v>
      </c>
      <c r="D83" s="8" t="s">
        <v>20</v>
      </c>
      <c r="E83" s="8" t="s">
        <v>15</v>
      </c>
      <c r="F83" s="8">
        <v>4</v>
      </c>
      <c r="G83" s="11">
        <v>83</v>
      </c>
      <c r="H83" s="12">
        <f t="shared" si="1"/>
        <v>332</v>
      </c>
      <c r="I83" s="14" t="s">
        <v>24</v>
      </c>
    </row>
    <row r="84" spans="1:9" x14ac:dyDescent="0.3">
      <c r="A84" s="2">
        <v>83</v>
      </c>
      <c r="B84" s="3">
        <v>45568</v>
      </c>
      <c r="C84" s="4" t="s">
        <v>9</v>
      </c>
      <c r="D84" s="2" t="s">
        <v>14</v>
      </c>
      <c r="E84" s="2" t="s">
        <v>18</v>
      </c>
      <c r="F84" s="2">
        <v>6</v>
      </c>
      <c r="G84" s="5">
        <v>617.37</v>
      </c>
      <c r="H84" s="6">
        <f t="shared" si="1"/>
        <v>3704.2200000000003</v>
      </c>
      <c r="I84" s="7" t="s">
        <v>12</v>
      </c>
    </row>
    <row r="85" spans="1:9" x14ac:dyDescent="0.3">
      <c r="A85" s="8">
        <v>84</v>
      </c>
      <c r="B85" s="9">
        <v>45653</v>
      </c>
      <c r="C85" s="10" t="s">
        <v>13</v>
      </c>
      <c r="D85" s="8" t="s">
        <v>17</v>
      </c>
      <c r="E85" s="8" t="s">
        <v>18</v>
      </c>
      <c r="F85" s="8">
        <v>3</v>
      </c>
      <c r="G85" s="11">
        <v>706.43</v>
      </c>
      <c r="H85" s="12">
        <f t="shared" si="1"/>
        <v>2119.29</v>
      </c>
      <c r="I85" s="13" t="s">
        <v>12</v>
      </c>
    </row>
    <row r="86" spans="1:9" x14ac:dyDescent="0.3">
      <c r="A86" s="2">
        <v>85</v>
      </c>
      <c r="B86" s="3">
        <v>45504</v>
      </c>
      <c r="C86" s="4" t="s">
        <v>9</v>
      </c>
      <c r="D86" s="2" t="s">
        <v>17</v>
      </c>
      <c r="E86" s="2" t="s">
        <v>23</v>
      </c>
      <c r="F86" s="2">
        <v>8</v>
      </c>
      <c r="G86" s="5">
        <v>298.89999999999998</v>
      </c>
      <c r="H86" s="6">
        <f t="shared" si="1"/>
        <v>2391.1999999999998</v>
      </c>
      <c r="I86" s="7" t="s">
        <v>12</v>
      </c>
    </row>
    <row r="87" spans="1:9" x14ac:dyDescent="0.3">
      <c r="A87" s="8">
        <v>86</v>
      </c>
      <c r="B87" s="9">
        <v>45648</v>
      </c>
      <c r="C87" s="10" t="s">
        <v>16</v>
      </c>
      <c r="D87" s="8" t="s">
        <v>17</v>
      </c>
      <c r="E87" s="8" t="s">
        <v>23</v>
      </c>
      <c r="F87" s="8">
        <v>10</v>
      </c>
      <c r="G87" s="11">
        <v>557.17999999999995</v>
      </c>
      <c r="H87" s="12">
        <f t="shared" si="1"/>
        <v>5571.7999999999993</v>
      </c>
      <c r="I87" s="13" t="s">
        <v>12</v>
      </c>
    </row>
    <row r="88" spans="1:9" x14ac:dyDescent="0.3">
      <c r="A88" s="2">
        <v>87</v>
      </c>
      <c r="B88" s="3">
        <v>45444</v>
      </c>
      <c r="C88" s="4" t="s">
        <v>19</v>
      </c>
      <c r="D88" s="2" t="s">
        <v>14</v>
      </c>
      <c r="E88" s="2" t="s">
        <v>23</v>
      </c>
      <c r="F88" s="2">
        <v>6</v>
      </c>
      <c r="G88" s="5">
        <v>152.65</v>
      </c>
      <c r="H88" s="6">
        <f t="shared" si="1"/>
        <v>915.90000000000009</v>
      </c>
      <c r="I88" s="16" t="s">
        <v>24</v>
      </c>
    </row>
    <row r="89" spans="1:9" x14ac:dyDescent="0.3">
      <c r="A89" s="8">
        <v>88</v>
      </c>
      <c r="B89" s="9">
        <v>45540</v>
      </c>
      <c r="C89" s="10" t="s">
        <v>19</v>
      </c>
      <c r="D89" s="8" t="s">
        <v>20</v>
      </c>
      <c r="E89" s="8" t="s">
        <v>23</v>
      </c>
      <c r="F89" s="8">
        <v>7</v>
      </c>
      <c r="G89" s="11">
        <v>248.74</v>
      </c>
      <c r="H89" s="12">
        <f t="shared" si="1"/>
        <v>1741.18</v>
      </c>
      <c r="I89" s="13" t="s">
        <v>12</v>
      </c>
    </row>
    <row r="90" spans="1:9" x14ac:dyDescent="0.3">
      <c r="A90" s="2">
        <v>89</v>
      </c>
      <c r="B90" s="3">
        <v>45531</v>
      </c>
      <c r="C90" s="4" t="s">
        <v>16</v>
      </c>
      <c r="D90" s="2" t="s">
        <v>10</v>
      </c>
      <c r="E90" s="2" t="s">
        <v>23</v>
      </c>
      <c r="F90" s="2">
        <v>14</v>
      </c>
      <c r="G90" s="5">
        <v>475.88</v>
      </c>
      <c r="H90" s="6">
        <f t="shared" si="1"/>
        <v>6662.32</v>
      </c>
      <c r="I90" s="7" t="s">
        <v>12</v>
      </c>
    </row>
    <row r="91" spans="1:9" x14ac:dyDescent="0.3">
      <c r="A91" s="8">
        <v>90</v>
      </c>
      <c r="B91" s="9">
        <v>45305</v>
      </c>
      <c r="C91" s="10" t="s">
        <v>19</v>
      </c>
      <c r="D91" s="8" t="s">
        <v>14</v>
      </c>
      <c r="E91" s="8" t="s">
        <v>23</v>
      </c>
      <c r="F91" s="8">
        <v>11</v>
      </c>
      <c r="G91" s="11">
        <v>416.35</v>
      </c>
      <c r="H91" s="12">
        <f t="shared" si="1"/>
        <v>4579.8500000000004</v>
      </c>
      <c r="I91" s="13" t="s">
        <v>12</v>
      </c>
    </row>
    <row r="92" spans="1:9" x14ac:dyDescent="0.3">
      <c r="A92" s="2">
        <v>91</v>
      </c>
      <c r="B92" s="3">
        <v>45486</v>
      </c>
      <c r="C92" s="4" t="s">
        <v>9</v>
      </c>
      <c r="D92" s="2" t="s">
        <v>17</v>
      </c>
      <c r="E92" s="2" t="s">
        <v>23</v>
      </c>
      <c r="F92" s="2">
        <v>5</v>
      </c>
      <c r="G92" s="5">
        <v>231.78</v>
      </c>
      <c r="H92" s="6">
        <f t="shared" si="1"/>
        <v>1158.9000000000001</v>
      </c>
      <c r="I92" s="7" t="s">
        <v>12</v>
      </c>
    </row>
    <row r="93" spans="1:9" x14ac:dyDescent="0.3">
      <c r="A93" s="8">
        <v>92</v>
      </c>
      <c r="B93" s="9">
        <v>45486</v>
      </c>
      <c r="C93" s="10" t="s">
        <v>19</v>
      </c>
      <c r="D93" s="8" t="s">
        <v>20</v>
      </c>
      <c r="E93" s="8" t="s">
        <v>21</v>
      </c>
      <c r="F93" s="8">
        <v>15</v>
      </c>
      <c r="G93" s="11">
        <v>502.5</v>
      </c>
      <c r="H93" s="12">
        <f t="shared" si="1"/>
        <v>7537.5</v>
      </c>
      <c r="I93" s="13" t="s">
        <v>12</v>
      </c>
    </row>
    <row r="94" spans="1:9" x14ac:dyDescent="0.3">
      <c r="A94" s="2">
        <v>93</v>
      </c>
      <c r="B94" s="3">
        <v>45568</v>
      </c>
      <c r="C94" s="4" t="s">
        <v>22</v>
      </c>
      <c r="D94" s="2" t="s">
        <v>14</v>
      </c>
      <c r="E94" s="2" t="s">
        <v>11</v>
      </c>
      <c r="F94" s="2">
        <v>12</v>
      </c>
      <c r="G94" s="5">
        <v>1270.31</v>
      </c>
      <c r="H94" s="6">
        <f t="shared" si="1"/>
        <v>15243.72</v>
      </c>
      <c r="I94" s="7" t="s">
        <v>12</v>
      </c>
    </row>
    <row r="95" spans="1:9" x14ac:dyDescent="0.3">
      <c r="A95" s="8">
        <v>94</v>
      </c>
      <c r="B95" s="9">
        <v>45312</v>
      </c>
      <c r="C95" s="10" t="s">
        <v>9</v>
      </c>
      <c r="D95" s="8" t="s">
        <v>14</v>
      </c>
      <c r="E95" s="8" t="s">
        <v>11</v>
      </c>
      <c r="F95" s="8">
        <v>11</v>
      </c>
      <c r="G95" s="11">
        <v>1581.23</v>
      </c>
      <c r="H95" s="12">
        <f t="shared" si="1"/>
        <v>17393.53</v>
      </c>
      <c r="I95" s="13" t="s">
        <v>12</v>
      </c>
    </row>
    <row r="96" spans="1:9" x14ac:dyDescent="0.3">
      <c r="A96" s="2">
        <v>95</v>
      </c>
      <c r="B96" s="3">
        <v>45356</v>
      </c>
      <c r="C96" s="4" t="s">
        <v>13</v>
      </c>
      <c r="D96" s="2" t="s">
        <v>14</v>
      </c>
      <c r="E96" s="2" t="s">
        <v>11</v>
      </c>
      <c r="F96" s="2">
        <v>4</v>
      </c>
      <c r="G96" s="5">
        <v>1421.34</v>
      </c>
      <c r="H96" s="6">
        <f t="shared" si="1"/>
        <v>5685.36</v>
      </c>
      <c r="I96" s="16" t="s">
        <v>24</v>
      </c>
    </row>
    <row r="97" spans="1:9" x14ac:dyDescent="0.3">
      <c r="A97" s="8">
        <v>96</v>
      </c>
      <c r="B97" s="9">
        <v>45480</v>
      </c>
      <c r="C97" s="10" t="s">
        <v>16</v>
      </c>
      <c r="D97" s="8" t="s">
        <v>10</v>
      </c>
      <c r="E97" s="8" t="s">
        <v>23</v>
      </c>
      <c r="F97" s="8">
        <v>13</v>
      </c>
      <c r="G97" s="11">
        <v>464.76</v>
      </c>
      <c r="H97" s="12">
        <f t="shared" si="1"/>
        <v>6041.88</v>
      </c>
      <c r="I97" s="13" t="s">
        <v>12</v>
      </c>
    </row>
    <row r="98" spans="1:9" x14ac:dyDescent="0.3">
      <c r="A98" s="2">
        <v>97</v>
      </c>
      <c r="B98" s="3">
        <v>45588</v>
      </c>
      <c r="C98" s="4" t="s">
        <v>22</v>
      </c>
      <c r="D98" s="2" t="s">
        <v>17</v>
      </c>
      <c r="E98" s="2" t="s">
        <v>18</v>
      </c>
      <c r="F98" s="2">
        <v>2</v>
      </c>
      <c r="G98" s="5">
        <v>1171.78</v>
      </c>
      <c r="H98" s="6">
        <f t="shared" si="1"/>
        <v>2343.56</v>
      </c>
      <c r="I98" s="7" t="s">
        <v>12</v>
      </c>
    </row>
    <row r="99" spans="1:9" x14ac:dyDescent="0.3">
      <c r="A99" s="8">
        <v>98</v>
      </c>
      <c r="B99" s="9">
        <v>45330</v>
      </c>
      <c r="C99" s="10" t="s">
        <v>9</v>
      </c>
      <c r="D99" s="8" t="s">
        <v>10</v>
      </c>
      <c r="E99" s="8" t="s">
        <v>23</v>
      </c>
      <c r="F99" s="8">
        <v>4</v>
      </c>
      <c r="G99" s="11">
        <v>573.66</v>
      </c>
      <c r="H99" s="12">
        <f t="shared" si="1"/>
        <v>2294.64</v>
      </c>
      <c r="I99" s="15" t="s">
        <v>25</v>
      </c>
    </row>
    <row r="100" spans="1:9" x14ac:dyDescent="0.3">
      <c r="A100" s="2">
        <v>99</v>
      </c>
      <c r="B100" s="3">
        <v>45353</v>
      </c>
      <c r="C100" s="4" t="s">
        <v>13</v>
      </c>
      <c r="D100" s="2" t="s">
        <v>20</v>
      </c>
      <c r="E100" s="2" t="s">
        <v>21</v>
      </c>
      <c r="F100" s="2">
        <v>10</v>
      </c>
      <c r="G100" s="5">
        <v>810.18</v>
      </c>
      <c r="H100" s="6">
        <f t="shared" si="1"/>
        <v>8101.7999999999993</v>
      </c>
      <c r="I100" s="17" t="s">
        <v>25</v>
      </c>
    </row>
    <row r="101" spans="1:9" x14ac:dyDescent="0.3">
      <c r="A101" s="8">
        <v>100</v>
      </c>
      <c r="B101" s="9">
        <v>45327</v>
      </c>
      <c r="C101" s="10" t="s">
        <v>22</v>
      </c>
      <c r="D101" s="8" t="s">
        <v>10</v>
      </c>
      <c r="E101" s="8" t="s">
        <v>15</v>
      </c>
      <c r="F101" s="8">
        <v>6</v>
      </c>
      <c r="G101" s="11">
        <v>75.69</v>
      </c>
      <c r="H101" s="12">
        <f t="shared" si="1"/>
        <v>454.14</v>
      </c>
      <c r="I101" s="15" t="s">
        <v>25</v>
      </c>
    </row>
    <row r="102" spans="1:9" x14ac:dyDescent="0.3">
      <c r="A102" s="2">
        <v>101</v>
      </c>
      <c r="B102" s="3">
        <v>45513</v>
      </c>
      <c r="C102" s="4" t="s">
        <v>19</v>
      </c>
      <c r="D102" s="2" t="s">
        <v>14</v>
      </c>
      <c r="E102" s="2" t="s">
        <v>23</v>
      </c>
      <c r="F102" s="2">
        <v>2</v>
      </c>
      <c r="G102" s="5">
        <v>520.04999999999995</v>
      </c>
      <c r="H102" s="6">
        <f t="shared" si="1"/>
        <v>1040.0999999999999</v>
      </c>
      <c r="I102" s="7" t="s">
        <v>12</v>
      </c>
    </row>
    <row r="103" spans="1:9" x14ac:dyDescent="0.3">
      <c r="A103" s="8">
        <v>102</v>
      </c>
      <c r="B103" s="9">
        <v>45625</v>
      </c>
      <c r="C103" s="10" t="s">
        <v>16</v>
      </c>
      <c r="D103" s="8" t="s">
        <v>17</v>
      </c>
      <c r="E103" s="8" t="s">
        <v>23</v>
      </c>
      <c r="F103" s="8">
        <v>9</v>
      </c>
      <c r="G103" s="11">
        <v>229.26</v>
      </c>
      <c r="H103" s="12">
        <f t="shared" si="1"/>
        <v>2063.34</v>
      </c>
      <c r="I103" s="13" t="s">
        <v>12</v>
      </c>
    </row>
    <row r="104" spans="1:9" x14ac:dyDescent="0.3">
      <c r="A104" s="2">
        <v>103</v>
      </c>
      <c r="B104" s="3">
        <v>45595</v>
      </c>
      <c r="C104" s="4" t="s">
        <v>22</v>
      </c>
      <c r="D104" s="2" t="s">
        <v>14</v>
      </c>
      <c r="E104" s="2" t="s">
        <v>23</v>
      </c>
      <c r="F104" s="2">
        <v>12</v>
      </c>
      <c r="G104" s="5">
        <v>346.01</v>
      </c>
      <c r="H104" s="6">
        <f t="shared" si="1"/>
        <v>4152.12</v>
      </c>
      <c r="I104" s="7" t="s">
        <v>12</v>
      </c>
    </row>
    <row r="105" spans="1:9" x14ac:dyDescent="0.3">
      <c r="A105" s="8">
        <v>104</v>
      </c>
      <c r="B105" s="9">
        <v>45416</v>
      </c>
      <c r="C105" s="10" t="s">
        <v>16</v>
      </c>
      <c r="D105" s="8" t="s">
        <v>17</v>
      </c>
      <c r="E105" s="8" t="s">
        <v>11</v>
      </c>
      <c r="F105" s="8">
        <v>8</v>
      </c>
      <c r="G105" s="11">
        <v>1078.93</v>
      </c>
      <c r="H105" s="12">
        <f t="shared" si="1"/>
        <v>8631.44</v>
      </c>
      <c r="I105" s="14" t="s">
        <v>24</v>
      </c>
    </row>
    <row r="106" spans="1:9" x14ac:dyDescent="0.3">
      <c r="A106" s="2">
        <v>105</v>
      </c>
      <c r="B106" s="3">
        <v>45458</v>
      </c>
      <c r="C106" s="4" t="s">
        <v>19</v>
      </c>
      <c r="D106" s="2" t="s">
        <v>14</v>
      </c>
      <c r="E106" s="2" t="s">
        <v>21</v>
      </c>
      <c r="F106" s="2">
        <v>14</v>
      </c>
      <c r="G106" s="5">
        <v>317.22000000000003</v>
      </c>
      <c r="H106" s="6">
        <f t="shared" si="1"/>
        <v>4441.08</v>
      </c>
      <c r="I106" s="7" t="s">
        <v>12</v>
      </c>
    </row>
    <row r="107" spans="1:9" x14ac:dyDescent="0.3">
      <c r="A107" s="8">
        <v>106</v>
      </c>
      <c r="B107" s="9">
        <v>45435</v>
      </c>
      <c r="C107" s="10" t="s">
        <v>22</v>
      </c>
      <c r="D107" s="8" t="s">
        <v>10</v>
      </c>
      <c r="E107" s="8" t="s">
        <v>21</v>
      </c>
      <c r="F107" s="8">
        <v>6</v>
      </c>
      <c r="G107" s="11">
        <v>778.7</v>
      </c>
      <c r="H107" s="12">
        <f t="shared" si="1"/>
        <v>4672.2000000000007</v>
      </c>
      <c r="I107" s="15" t="s">
        <v>25</v>
      </c>
    </row>
    <row r="108" spans="1:9" x14ac:dyDescent="0.3">
      <c r="A108" s="2">
        <v>107</v>
      </c>
      <c r="B108" s="3">
        <v>45415</v>
      </c>
      <c r="C108" s="4" t="s">
        <v>19</v>
      </c>
      <c r="D108" s="2" t="s">
        <v>14</v>
      </c>
      <c r="E108" s="2" t="s">
        <v>15</v>
      </c>
      <c r="F108" s="2">
        <v>2</v>
      </c>
      <c r="G108" s="5">
        <v>143.25</v>
      </c>
      <c r="H108" s="6">
        <f t="shared" si="1"/>
        <v>286.5</v>
      </c>
      <c r="I108" s="16" t="s">
        <v>24</v>
      </c>
    </row>
    <row r="109" spans="1:9" x14ac:dyDescent="0.3">
      <c r="A109" s="8">
        <v>108</v>
      </c>
      <c r="B109" s="9">
        <v>45521</v>
      </c>
      <c r="C109" s="10" t="s">
        <v>13</v>
      </c>
      <c r="D109" s="8" t="s">
        <v>20</v>
      </c>
      <c r="E109" s="8" t="s">
        <v>23</v>
      </c>
      <c r="F109" s="8">
        <v>8</v>
      </c>
      <c r="G109" s="11">
        <v>440.66</v>
      </c>
      <c r="H109" s="12">
        <f t="shared" si="1"/>
        <v>3525.28</v>
      </c>
      <c r="I109" s="13" t="s">
        <v>12</v>
      </c>
    </row>
    <row r="110" spans="1:9" x14ac:dyDescent="0.3">
      <c r="A110" s="2">
        <v>109</v>
      </c>
      <c r="B110" s="3">
        <v>45448</v>
      </c>
      <c r="C110" s="4" t="s">
        <v>22</v>
      </c>
      <c r="D110" s="2" t="s">
        <v>17</v>
      </c>
      <c r="E110" s="2" t="s">
        <v>18</v>
      </c>
      <c r="F110" s="2">
        <v>4</v>
      </c>
      <c r="G110" s="5">
        <v>723.52</v>
      </c>
      <c r="H110" s="6">
        <f t="shared" si="1"/>
        <v>2894.08</v>
      </c>
      <c r="I110" s="17" t="s">
        <v>25</v>
      </c>
    </row>
    <row r="111" spans="1:9" x14ac:dyDescent="0.3">
      <c r="A111" s="8">
        <v>110</v>
      </c>
      <c r="B111" s="9">
        <v>45573</v>
      </c>
      <c r="C111" s="10" t="s">
        <v>22</v>
      </c>
      <c r="D111" s="8" t="s">
        <v>17</v>
      </c>
      <c r="E111" s="8" t="s">
        <v>15</v>
      </c>
      <c r="F111" s="8">
        <v>7</v>
      </c>
      <c r="G111" s="11">
        <v>89.02</v>
      </c>
      <c r="H111" s="12">
        <f t="shared" si="1"/>
        <v>623.14</v>
      </c>
      <c r="I111" s="13" t="s">
        <v>12</v>
      </c>
    </row>
    <row r="112" spans="1:9" x14ac:dyDescent="0.3">
      <c r="A112" s="2">
        <v>111</v>
      </c>
      <c r="B112" s="3">
        <v>45353</v>
      </c>
      <c r="C112" s="4" t="s">
        <v>22</v>
      </c>
      <c r="D112" s="2" t="s">
        <v>10</v>
      </c>
      <c r="E112" s="2" t="s">
        <v>21</v>
      </c>
      <c r="F112" s="2">
        <v>4</v>
      </c>
      <c r="G112" s="5">
        <v>483.97</v>
      </c>
      <c r="H112" s="6">
        <f t="shared" si="1"/>
        <v>1935.88</v>
      </c>
      <c r="I112" s="7" t="s">
        <v>12</v>
      </c>
    </row>
    <row r="113" spans="1:9" x14ac:dyDescent="0.3">
      <c r="A113" s="8">
        <v>112</v>
      </c>
      <c r="B113" s="9">
        <v>45386</v>
      </c>
      <c r="C113" s="10" t="s">
        <v>9</v>
      </c>
      <c r="D113" s="8" t="s">
        <v>17</v>
      </c>
      <c r="E113" s="8" t="s">
        <v>15</v>
      </c>
      <c r="F113" s="8">
        <v>12</v>
      </c>
      <c r="G113" s="11">
        <v>143.61000000000001</v>
      </c>
      <c r="H113" s="12">
        <f t="shared" si="1"/>
        <v>1723.3200000000002</v>
      </c>
      <c r="I113" s="13" t="s">
        <v>12</v>
      </c>
    </row>
    <row r="114" spans="1:9" x14ac:dyDescent="0.3">
      <c r="A114" s="2">
        <v>113</v>
      </c>
      <c r="B114" s="3">
        <v>45560</v>
      </c>
      <c r="C114" s="4" t="s">
        <v>22</v>
      </c>
      <c r="D114" s="2" t="s">
        <v>10</v>
      </c>
      <c r="E114" s="2" t="s">
        <v>21</v>
      </c>
      <c r="F114" s="2">
        <v>13</v>
      </c>
      <c r="G114" s="5">
        <v>734.75</v>
      </c>
      <c r="H114" s="6">
        <f t="shared" si="1"/>
        <v>9551.75</v>
      </c>
      <c r="I114" s="17" t="s">
        <v>25</v>
      </c>
    </row>
    <row r="115" spans="1:9" x14ac:dyDescent="0.3">
      <c r="A115" s="8">
        <v>114</v>
      </c>
      <c r="B115" s="9">
        <v>45383</v>
      </c>
      <c r="C115" s="10" t="s">
        <v>13</v>
      </c>
      <c r="D115" s="8" t="s">
        <v>14</v>
      </c>
      <c r="E115" s="8" t="s">
        <v>18</v>
      </c>
      <c r="F115" s="8">
        <v>6</v>
      </c>
      <c r="G115" s="11">
        <v>637</v>
      </c>
      <c r="H115" s="12">
        <f t="shared" si="1"/>
        <v>3822</v>
      </c>
      <c r="I115" s="13" t="s">
        <v>12</v>
      </c>
    </row>
    <row r="116" spans="1:9" x14ac:dyDescent="0.3">
      <c r="A116" s="2">
        <v>115</v>
      </c>
      <c r="B116" s="3">
        <v>45575</v>
      </c>
      <c r="C116" s="4" t="s">
        <v>9</v>
      </c>
      <c r="D116" s="2" t="s">
        <v>17</v>
      </c>
      <c r="E116" s="2" t="s">
        <v>21</v>
      </c>
      <c r="F116" s="2">
        <v>1</v>
      </c>
      <c r="G116" s="5">
        <v>327.31</v>
      </c>
      <c r="H116" s="6">
        <f t="shared" si="1"/>
        <v>327.31</v>
      </c>
      <c r="I116" s="7" t="s">
        <v>12</v>
      </c>
    </row>
    <row r="117" spans="1:9" x14ac:dyDescent="0.3">
      <c r="A117" s="8">
        <v>116</v>
      </c>
      <c r="B117" s="9">
        <v>45437</v>
      </c>
      <c r="C117" s="10" t="s">
        <v>19</v>
      </c>
      <c r="D117" s="8" t="s">
        <v>17</v>
      </c>
      <c r="E117" s="8" t="s">
        <v>11</v>
      </c>
      <c r="F117" s="8">
        <v>10</v>
      </c>
      <c r="G117" s="11">
        <v>1672.72</v>
      </c>
      <c r="H117" s="12">
        <f t="shared" si="1"/>
        <v>16727.2</v>
      </c>
      <c r="I117" s="14" t="s">
        <v>24</v>
      </c>
    </row>
    <row r="118" spans="1:9" x14ac:dyDescent="0.3">
      <c r="A118" s="2">
        <v>117</v>
      </c>
      <c r="B118" s="3">
        <v>45421</v>
      </c>
      <c r="C118" s="4" t="s">
        <v>13</v>
      </c>
      <c r="D118" s="2" t="s">
        <v>10</v>
      </c>
      <c r="E118" s="2" t="s">
        <v>21</v>
      </c>
      <c r="F118" s="2">
        <v>1</v>
      </c>
      <c r="G118" s="5">
        <v>410.62</v>
      </c>
      <c r="H118" s="6">
        <f t="shared" si="1"/>
        <v>410.62</v>
      </c>
      <c r="I118" s="16" t="s">
        <v>24</v>
      </c>
    </row>
    <row r="119" spans="1:9" x14ac:dyDescent="0.3">
      <c r="A119" s="8">
        <v>118</v>
      </c>
      <c r="B119" s="9">
        <v>45614</v>
      </c>
      <c r="C119" s="10" t="s">
        <v>9</v>
      </c>
      <c r="D119" s="8" t="s">
        <v>14</v>
      </c>
      <c r="E119" s="8" t="s">
        <v>23</v>
      </c>
      <c r="F119" s="8">
        <v>10</v>
      </c>
      <c r="G119" s="11">
        <v>371.29</v>
      </c>
      <c r="H119" s="12">
        <f t="shared" si="1"/>
        <v>3712.9</v>
      </c>
      <c r="I119" s="13" t="s">
        <v>12</v>
      </c>
    </row>
    <row r="120" spans="1:9" x14ac:dyDescent="0.3">
      <c r="A120" s="2">
        <v>119</v>
      </c>
      <c r="B120" s="3">
        <v>45419</v>
      </c>
      <c r="C120" s="4" t="s">
        <v>16</v>
      </c>
      <c r="D120" s="2" t="s">
        <v>17</v>
      </c>
      <c r="E120" s="2" t="s">
        <v>15</v>
      </c>
      <c r="F120" s="2">
        <v>2</v>
      </c>
      <c r="G120" s="5">
        <v>143.38999999999999</v>
      </c>
      <c r="H120" s="6">
        <f t="shared" si="1"/>
        <v>286.77999999999997</v>
      </c>
      <c r="I120" s="7" t="s">
        <v>12</v>
      </c>
    </row>
    <row r="121" spans="1:9" x14ac:dyDescent="0.3">
      <c r="A121" s="8">
        <v>120</v>
      </c>
      <c r="B121" s="9">
        <v>45407</v>
      </c>
      <c r="C121" s="10" t="s">
        <v>19</v>
      </c>
      <c r="D121" s="8" t="s">
        <v>17</v>
      </c>
      <c r="E121" s="8" t="s">
        <v>15</v>
      </c>
      <c r="F121" s="8">
        <v>10</v>
      </c>
      <c r="G121" s="11">
        <v>97.5</v>
      </c>
      <c r="H121" s="12">
        <f t="shared" si="1"/>
        <v>975</v>
      </c>
      <c r="I121" s="15" t="s">
        <v>25</v>
      </c>
    </row>
    <row r="122" spans="1:9" x14ac:dyDescent="0.3">
      <c r="A122" s="2">
        <v>121</v>
      </c>
      <c r="B122" s="3">
        <v>45511</v>
      </c>
      <c r="C122" s="4" t="s">
        <v>16</v>
      </c>
      <c r="D122" s="2" t="s">
        <v>10</v>
      </c>
      <c r="E122" s="2" t="s">
        <v>23</v>
      </c>
      <c r="F122" s="2">
        <v>10</v>
      </c>
      <c r="G122" s="5">
        <v>283.81</v>
      </c>
      <c r="H122" s="6">
        <f t="shared" si="1"/>
        <v>2838.1</v>
      </c>
      <c r="I122" s="7" t="s">
        <v>12</v>
      </c>
    </row>
    <row r="123" spans="1:9" x14ac:dyDescent="0.3">
      <c r="A123" s="8">
        <v>122</v>
      </c>
      <c r="B123" s="9">
        <v>45398</v>
      </c>
      <c r="C123" s="10" t="s">
        <v>22</v>
      </c>
      <c r="D123" s="8" t="s">
        <v>10</v>
      </c>
      <c r="E123" s="8" t="s">
        <v>15</v>
      </c>
      <c r="F123" s="8">
        <v>2</v>
      </c>
      <c r="G123" s="11">
        <v>144.81</v>
      </c>
      <c r="H123" s="12">
        <f t="shared" si="1"/>
        <v>289.62</v>
      </c>
      <c r="I123" s="13" t="s">
        <v>12</v>
      </c>
    </row>
    <row r="124" spans="1:9" x14ac:dyDescent="0.3">
      <c r="A124" s="2">
        <v>123</v>
      </c>
      <c r="B124" s="3">
        <v>45330</v>
      </c>
      <c r="C124" s="4" t="s">
        <v>13</v>
      </c>
      <c r="D124" s="2" t="s">
        <v>17</v>
      </c>
      <c r="E124" s="2" t="s">
        <v>18</v>
      </c>
      <c r="F124" s="2">
        <v>9</v>
      </c>
      <c r="G124" s="5">
        <v>591.89</v>
      </c>
      <c r="H124" s="6">
        <f t="shared" si="1"/>
        <v>5327.01</v>
      </c>
      <c r="I124" s="7" t="s">
        <v>12</v>
      </c>
    </row>
    <row r="125" spans="1:9" x14ac:dyDescent="0.3">
      <c r="A125" s="8">
        <v>124</v>
      </c>
      <c r="B125" s="9">
        <v>45441</v>
      </c>
      <c r="C125" s="10" t="s">
        <v>9</v>
      </c>
      <c r="D125" s="8" t="s">
        <v>20</v>
      </c>
      <c r="E125" s="8" t="s">
        <v>23</v>
      </c>
      <c r="F125" s="8">
        <v>8</v>
      </c>
      <c r="G125" s="11">
        <v>460.22</v>
      </c>
      <c r="H125" s="12">
        <f t="shared" si="1"/>
        <v>3681.76</v>
      </c>
      <c r="I125" s="13" t="s">
        <v>12</v>
      </c>
    </row>
    <row r="126" spans="1:9" x14ac:dyDescent="0.3">
      <c r="A126" s="2">
        <v>125</v>
      </c>
      <c r="B126" s="3">
        <v>45328</v>
      </c>
      <c r="C126" s="4" t="s">
        <v>22</v>
      </c>
      <c r="D126" s="2" t="s">
        <v>14</v>
      </c>
      <c r="E126" s="2" t="s">
        <v>21</v>
      </c>
      <c r="F126" s="2">
        <v>8</v>
      </c>
      <c r="G126" s="5">
        <v>721.79</v>
      </c>
      <c r="H126" s="6">
        <f t="shared" si="1"/>
        <v>5774.32</v>
      </c>
      <c r="I126" s="7" t="s">
        <v>12</v>
      </c>
    </row>
    <row r="127" spans="1:9" x14ac:dyDescent="0.3">
      <c r="A127" s="8">
        <v>126</v>
      </c>
      <c r="B127" s="9">
        <v>45623</v>
      </c>
      <c r="C127" s="10" t="s">
        <v>22</v>
      </c>
      <c r="D127" s="8" t="s">
        <v>14</v>
      </c>
      <c r="E127" s="8" t="s">
        <v>23</v>
      </c>
      <c r="F127" s="8">
        <v>4</v>
      </c>
      <c r="G127" s="11">
        <v>201.65</v>
      </c>
      <c r="H127" s="12">
        <f t="shared" si="1"/>
        <v>806.6</v>
      </c>
      <c r="I127" s="13" t="s">
        <v>12</v>
      </c>
    </row>
    <row r="128" spans="1:9" x14ac:dyDescent="0.3">
      <c r="A128" s="2">
        <v>127</v>
      </c>
      <c r="B128" s="3">
        <v>45449</v>
      </c>
      <c r="C128" s="4" t="s">
        <v>16</v>
      </c>
      <c r="D128" s="2" t="s">
        <v>20</v>
      </c>
      <c r="E128" s="2" t="s">
        <v>11</v>
      </c>
      <c r="F128" s="2">
        <v>13</v>
      </c>
      <c r="G128" s="5">
        <v>859.64</v>
      </c>
      <c r="H128" s="6">
        <f t="shared" si="1"/>
        <v>11175.32</v>
      </c>
      <c r="I128" s="17" t="s">
        <v>25</v>
      </c>
    </row>
    <row r="129" spans="1:9" x14ac:dyDescent="0.3">
      <c r="A129" s="8">
        <v>128</v>
      </c>
      <c r="B129" s="9">
        <v>45447</v>
      </c>
      <c r="C129" s="10" t="s">
        <v>22</v>
      </c>
      <c r="D129" s="8" t="s">
        <v>17</v>
      </c>
      <c r="E129" s="8" t="s">
        <v>23</v>
      </c>
      <c r="F129" s="8">
        <v>12</v>
      </c>
      <c r="G129" s="11">
        <v>205.96</v>
      </c>
      <c r="H129" s="12">
        <f t="shared" si="1"/>
        <v>2471.52</v>
      </c>
      <c r="I129" s="14" t="s">
        <v>24</v>
      </c>
    </row>
    <row r="130" spans="1:9" x14ac:dyDescent="0.3">
      <c r="A130" s="2">
        <v>129</v>
      </c>
      <c r="B130" s="3">
        <v>45513</v>
      </c>
      <c r="C130" s="4" t="s">
        <v>16</v>
      </c>
      <c r="D130" s="2" t="s">
        <v>20</v>
      </c>
      <c r="E130" s="2" t="s">
        <v>23</v>
      </c>
      <c r="F130" s="2">
        <v>1</v>
      </c>
      <c r="G130" s="5">
        <v>186.2</v>
      </c>
      <c r="H130" s="6">
        <f t="shared" ref="H130:H193" si="2">F130*G130</f>
        <v>186.2</v>
      </c>
      <c r="I130" s="7" t="s">
        <v>12</v>
      </c>
    </row>
    <row r="131" spans="1:9" x14ac:dyDescent="0.3">
      <c r="A131" s="8">
        <v>130</v>
      </c>
      <c r="B131" s="9">
        <v>45586</v>
      </c>
      <c r="C131" s="10" t="s">
        <v>13</v>
      </c>
      <c r="D131" s="8" t="s">
        <v>20</v>
      </c>
      <c r="E131" s="8" t="s">
        <v>11</v>
      </c>
      <c r="F131" s="8">
        <v>11</v>
      </c>
      <c r="G131" s="11">
        <v>891.33</v>
      </c>
      <c r="H131" s="12">
        <f t="shared" si="2"/>
        <v>9804.630000000001</v>
      </c>
      <c r="I131" s="15" t="s">
        <v>25</v>
      </c>
    </row>
    <row r="132" spans="1:9" x14ac:dyDescent="0.3">
      <c r="A132" s="2">
        <v>131</v>
      </c>
      <c r="B132" s="3">
        <v>45381</v>
      </c>
      <c r="C132" s="4" t="s">
        <v>16</v>
      </c>
      <c r="D132" s="2" t="s">
        <v>17</v>
      </c>
      <c r="E132" s="2" t="s">
        <v>15</v>
      </c>
      <c r="F132" s="2">
        <v>13</v>
      </c>
      <c r="G132" s="5">
        <v>25.23</v>
      </c>
      <c r="H132" s="6">
        <f t="shared" si="2"/>
        <v>327.99</v>
      </c>
      <c r="I132" s="16" t="s">
        <v>24</v>
      </c>
    </row>
    <row r="133" spans="1:9" x14ac:dyDescent="0.3">
      <c r="A133" s="8">
        <v>132</v>
      </c>
      <c r="B133" s="9">
        <v>45515</v>
      </c>
      <c r="C133" s="10" t="s">
        <v>13</v>
      </c>
      <c r="D133" s="8" t="s">
        <v>17</v>
      </c>
      <c r="E133" s="8" t="s">
        <v>21</v>
      </c>
      <c r="F133" s="8">
        <v>10</v>
      </c>
      <c r="G133" s="11">
        <v>408.89</v>
      </c>
      <c r="H133" s="12">
        <f t="shared" si="2"/>
        <v>4088.8999999999996</v>
      </c>
      <c r="I133" s="14" t="s">
        <v>24</v>
      </c>
    </row>
    <row r="134" spans="1:9" x14ac:dyDescent="0.3">
      <c r="A134" s="2">
        <v>133</v>
      </c>
      <c r="B134" s="3">
        <v>45635</v>
      </c>
      <c r="C134" s="4" t="s">
        <v>9</v>
      </c>
      <c r="D134" s="2" t="s">
        <v>20</v>
      </c>
      <c r="E134" s="2" t="s">
        <v>21</v>
      </c>
      <c r="F134" s="2">
        <v>6</v>
      </c>
      <c r="G134" s="5">
        <v>545.01</v>
      </c>
      <c r="H134" s="6">
        <f t="shared" si="2"/>
        <v>3270.06</v>
      </c>
      <c r="I134" s="7" t="s">
        <v>12</v>
      </c>
    </row>
    <row r="135" spans="1:9" x14ac:dyDescent="0.3">
      <c r="A135" s="8">
        <v>134</v>
      </c>
      <c r="B135" s="9">
        <v>45631</v>
      </c>
      <c r="C135" s="10" t="s">
        <v>16</v>
      </c>
      <c r="D135" s="8" t="s">
        <v>10</v>
      </c>
      <c r="E135" s="8" t="s">
        <v>23</v>
      </c>
      <c r="F135" s="8">
        <v>5</v>
      </c>
      <c r="G135" s="11">
        <v>462.15</v>
      </c>
      <c r="H135" s="12">
        <f t="shared" si="2"/>
        <v>2310.75</v>
      </c>
      <c r="I135" s="14" t="s">
        <v>24</v>
      </c>
    </row>
    <row r="136" spans="1:9" x14ac:dyDescent="0.3">
      <c r="A136" s="2">
        <v>135</v>
      </c>
      <c r="B136" s="3">
        <v>45457</v>
      </c>
      <c r="C136" s="4" t="s">
        <v>19</v>
      </c>
      <c r="D136" s="2" t="s">
        <v>10</v>
      </c>
      <c r="E136" s="2" t="s">
        <v>23</v>
      </c>
      <c r="F136" s="2">
        <v>5</v>
      </c>
      <c r="G136" s="5">
        <v>189.63</v>
      </c>
      <c r="H136" s="6">
        <f t="shared" si="2"/>
        <v>948.15</v>
      </c>
      <c r="I136" s="7" t="s">
        <v>12</v>
      </c>
    </row>
    <row r="137" spans="1:9" x14ac:dyDescent="0.3">
      <c r="A137" s="8">
        <v>136</v>
      </c>
      <c r="B137" s="9">
        <v>45388</v>
      </c>
      <c r="C137" s="10" t="s">
        <v>22</v>
      </c>
      <c r="D137" s="8" t="s">
        <v>17</v>
      </c>
      <c r="E137" s="8" t="s">
        <v>15</v>
      </c>
      <c r="F137" s="8">
        <v>1</v>
      </c>
      <c r="G137" s="11">
        <v>80.06</v>
      </c>
      <c r="H137" s="12">
        <f t="shared" si="2"/>
        <v>80.06</v>
      </c>
      <c r="I137" s="15" t="s">
        <v>25</v>
      </c>
    </row>
    <row r="138" spans="1:9" x14ac:dyDescent="0.3">
      <c r="A138" s="2">
        <v>137</v>
      </c>
      <c r="B138" s="3">
        <v>45428</v>
      </c>
      <c r="C138" s="4" t="s">
        <v>9</v>
      </c>
      <c r="D138" s="2" t="s">
        <v>20</v>
      </c>
      <c r="E138" s="2" t="s">
        <v>23</v>
      </c>
      <c r="F138" s="2">
        <v>4</v>
      </c>
      <c r="G138" s="5">
        <v>492</v>
      </c>
      <c r="H138" s="6">
        <f t="shared" si="2"/>
        <v>1968</v>
      </c>
      <c r="I138" s="17" t="s">
        <v>25</v>
      </c>
    </row>
    <row r="139" spans="1:9" x14ac:dyDescent="0.3">
      <c r="A139" s="8">
        <v>138</v>
      </c>
      <c r="B139" s="9">
        <v>45354</v>
      </c>
      <c r="C139" s="10" t="s">
        <v>16</v>
      </c>
      <c r="D139" s="8" t="s">
        <v>14</v>
      </c>
      <c r="E139" s="8" t="s">
        <v>23</v>
      </c>
      <c r="F139" s="8">
        <v>8</v>
      </c>
      <c r="G139" s="11">
        <v>546.38</v>
      </c>
      <c r="H139" s="12">
        <f t="shared" si="2"/>
        <v>4371.04</v>
      </c>
      <c r="I139" s="13" t="s">
        <v>12</v>
      </c>
    </row>
    <row r="140" spans="1:9" x14ac:dyDescent="0.3">
      <c r="A140" s="2">
        <v>139</v>
      </c>
      <c r="B140" s="3">
        <v>45574</v>
      </c>
      <c r="C140" s="4" t="s">
        <v>13</v>
      </c>
      <c r="D140" s="2" t="s">
        <v>14</v>
      </c>
      <c r="E140" s="2" t="s">
        <v>18</v>
      </c>
      <c r="F140" s="2">
        <v>1</v>
      </c>
      <c r="G140" s="5">
        <v>648.6</v>
      </c>
      <c r="H140" s="6">
        <f t="shared" si="2"/>
        <v>648.6</v>
      </c>
      <c r="I140" s="16" t="s">
        <v>24</v>
      </c>
    </row>
    <row r="141" spans="1:9" x14ac:dyDescent="0.3">
      <c r="A141" s="8">
        <v>140</v>
      </c>
      <c r="B141" s="9">
        <v>45623</v>
      </c>
      <c r="C141" s="10" t="s">
        <v>19</v>
      </c>
      <c r="D141" s="8" t="s">
        <v>20</v>
      </c>
      <c r="E141" s="8" t="s">
        <v>11</v>
      </c>
      <c r="F141" s="8">
        <v>2</v>
      </c>
      <c r="G141" s="11">
        <v>1261.45</v>
      </c>
      <c r="H141" s="12">
        <f t="shared" si="2"/>
        <v>2522.9</v>
      </c>
      <c r="I141" s="13" t="s">
        <v>12</v>
      </c>
    </row>
    <row r="142" spans="1:9" x14ac:dyDescent="0.3">
      <c r="A142" s="2">
        <v>141</v>
      </c>
      <c r="B142" s="3">
        <v>45539</v>
      </c>
      <c r="C142" s="4" t="s">
        <v>9</v>
      </c>
      <c r="D142" s="2" t="s">
        <v>17</v>
      </c>
      <c r="E142" s="2" t="s">
        <v>15</v>
      </c>
      <c r="F142" s="2">
        <v>7</v>
      </c>
      <c r="G142" s="5">
        <v>111.7</v>
      </c>
      <c r="H142" s="6">
        <f t="shared" si="2"/>
        <v>781.9</v>
      </c>
      <c r="I142" s="16" t="s">
        <v>24</v>
      </c>
    </row>
    <row r="143" spans="1:9" x14ac:dyDescent="0.3">
      <c r="A143" s="8">
        <v>142</v>
      </c>
      <c r="B143" s="9">
        <v>45598</v>
      </c>
      <c r="C143" s="10" t="s">
        <v>9</v>
      </c>
      <c r="D143" s="8" t="s">
        <v>10</v>
      </c>
      <c r="E143" s="8" t="s">
        <v>15</v>
      </c>
      <c r="F143" s="8">
        <v>4</v>
      </c>
      <c r="G143" s="11">
        <v>38.799999999999997</v>
      </c>
      <c r="H143" s="12">
        <f t="shared" si="2"/>
        <v>155.19999999999999</v>
      </c>
      <c r="I143" s="15" t="s">
        <v>25</v>
      </c>
    </row>
    <row r="144" spans="1:9" x14ac:dyDescent="0.3">
      <c r="A144" s="2">
        <v>143</v>
      </c>
      <c r="B144" s="3">
        <v>45504</v>
      </c>
      <c r="C144" s="4" t="s">
        <v>16</v>
      </c>
      <c r="D144" s="2" t="s">
        <v>20</v>
      </c>
      <c r="E144" s="2" t="s">
        <v>21</v>
      </c>
      <c r="F144" s="2">
        <v>14</v>
      </c>
      <c r="G144" s="5">
        <v>763.61</v>
      </c>
      <c r="H144" s="6">
        <f t="shared" si="2"/>
        <v>10690.54</v>
      </c>
      <c r="I144" s="7" t="s">
        <v>12</v>
      </c>
    </row>
    <row r="145" spans="1:9" x14ac:dyDescent="0.3">
      <c r="A145" s="8">
        <v>144</v>
      </c>
      <c r="B145" s="9">
        <v>45592</v>
      </c>
      <c r="C145" s="10" t="s">
        <v>19</v>
      </c>
      <c r="D145" s="8" t="s">
        <v>14</v>
      </c>
      <c r="E145" s="8" t="s">
        <v>11</v>
      </c>
      <c r="F145" s="8">
        <v>5</v>
      </c>
      <c r="G145" s="11">
        <v>1082.8399999999999</v>
      </c>
      <c r="H145" s="12">
        <f t="shared" si="2"/>
        <v>5414.2</v>
      </c>
      <c r="I145" s="15" t="s">
        <v>25</v>
      </c>
    </row>
    <row r="146" spans="1:9" x14ac:dyDescent="0.3">
      <c r="A146" s="2">
        <v>145</v>
      </c>
      <c r="B146" s="3">
        <v>45462</v>
      </c>
      <c r="C146" s="4" t="s">
        <v>16</v>
      </c>
      <c r="D146" s="2" t="s">
        <v>17</v>
      </c>
      <c r="E146" s="2" t="s">
        <v>23</v>
      </c>
      <c r="F146" s="2">
        <v>6</v>
      </c>
      <c r="G146" s="5">
        <v>392.36</v>
      </c>
      <c r="H146" s="6">
        <f t="shared" si="2"/>
        <v>2354.16</v>
      </c>
      <c r="I146" s="17" t="s">
        <v>25</v>
      </c>
    </row>
    <row r="147" spans="1:9" x14ac:dyDescent="0.3">
      <c r="A147" s="8">
        <v>146</v>
      </c>
      <c r="B147" s="9">
        <v>45388</v>
      </c>
      <c r="C147" s="10" t="s">
        <v>16</v>
      </c>
      <c r="D147" s="8" t="s">
        <v>17</v>
      </c>
      <c r="E147" s="8" t="s">
        <v>23</v>
      </c>
      <c r="F147" s="8">
        <v>14</v>
      </c>
      <c r="G147" s="11">
        <v>569.78</v>
      </c>
      <c r="H147" s="12">
        <f t="shared" si="2"/>
        <v>7976.92</v>
      </c>
      <c r="I147" s="13" t="s">
        <v>12</v>
      </c>
    </row>
    <row r="148" spans="1:9" x14ac:dyDescent="0.3">
      <c r="A148" s="2">
        <v>147</v>
      </c>
      <c r="B148" s="3">
        <v>45314</v>
      </c>
      <c r="C148" s="4" t="s">
        <v>19</v>
      </c>
      <c r="D148" s="2" t="s">
        <v>17</v>
      </c>
      <c r="E148" s="2" t="s">
        <v>18</v>
      </c>
      <c r="F148" s="2">
        <v>7</v>
      </c>
      <c r="G148" s="5">
        <v>1084.81</v>
      </c>
      <c r="H148" s="6">
        <f t="shared" si="2"/>
        <v>7593.67</v>
      </c>
      <c r="I148" s="7" t="s">
        <v>12</v>
      </c>
    </row>
    <row r="149" spans="1:9" x14ac:dyDescent="0.3">
      <c r="A149" s="8">
        <v>148</v>
      </c>
      <c r="B149" s="9">
        <v>45625</v>
      </c>
      <c r="C149" s="10" t="s">
        <v>19</v>
      </c>
      <c r="D149" s="8" t="s">
        <v>10</v>
      </c>
      <c r="E149" s="8" t="s">
        <v>23</v>
      </c>
      <c r="F149" s="8">
        <v>13</v>
      </c>
      <c r="G149" s="11">
        <v>594.79</v>
      </c>
      <c r="H149" s="12">
        <f t="shared" si="2"/>
        <v>7732.2699999999995</v>
      </c>
      <c r="I149" s="13" t="s">
        <v>12</v>
      </c>
    </row>
    <row r="150" spans="1:9" x14ac:dyDescent="0.3">
      <c r="A150" s="2">
        <v>149</v>
      </c>
      <c r="B150" s="3">
        <v>45461</v>
      </c>
      <c r="C150" s="4" t="s">
        <v>19</v>
      </c>
      <c r="D150" s="2" t="s">
        <v>10</v>
      </c>
      <c r="E150" s="2" t="s">
        <v>18</v>
      </c>
      <c r="F150" s="2">
        <v>10</v>
      </c>
      <c r="G150" s="5">
        <v>801.83</v>
      </c>
      <c r="H150" s="6">
        <f t="shared" si="2"/>
        <v>8018.3</v>
      </c>
      <c r="I150" s="7" t="s">
        <v>12</v>
      </c>
    </row>
    <row r="151" spans="1:9" x14ac:dyDescent="0.3">
      <c r="A151" s="8">
        <v>150</v>
      </c>
      <c r="B151" s="9">
        <v>45365</v>
      </c>
      <c r="C151" s="10" t="s">
        <v>9</v>
      </c>
      <c r="D151" s="8" t="s">
        <v>10</v>
      </c>
      <c r="E151" s="8" t="s">
        <v>15</v>
      </c>
      <c r="F151" s="8">
        <v>1</v>
      </c>
      <c r="G151" s="11">
        <v>138.36000000000001</v>
      </c>
      <c r="H151" s="12">
        <f t="shared" si="2"/>
        <v>138.36000000000001</v>
      </c>
      <c r="I151" s="14" t="s">
        <v>24</v>
      </c>
    </row>
    <row r="152" spans="1:9" x14ac:dyDescent="0.3">
      <c r="A152" s="2">
        <v>151</v>
      </c>
      <c r="B152" s="3">
        <v>45465</v>
      </c>
      <c r="C152" s="4" t="s">
        <v>19</v>
      </c>
      <c r="D152" s="2" t="s">
        <v>10</v>
      </c>
      <c r="E152" s="2" t="s">
        <v>23</v>
      </c>
      <c r="F152" s="2">
        <v>5</v>
      </c>
      <c r="G152" s="5">
        <v>501.69</v>
      </c>
      <c r="H152" s="6">
        <f t="shared" si="2"/>
        <v>2508.4499999999998</v>
      </c>
      <c r="I152" s="17" t="s">
        <v>25</v>
      </c>
    </row>
    <row r="153" spans="1:9" x14ac:dyDescent="0.3">
      <c r="A153" s="8">
        <v>152</v>
      </c>
      <c r="B153" s="9">
        <v>45565</v>
      </c>
      <c r="C153" s="10" t="s">
        <v>22</v>
      </c>
      <c r="D153" s="8" t="s">
        <v>17</v>
      </c>
      <c r="E153" s="8" t="s">
        <v>21</v>
      </c>
      <c r="F153" s="8">
        <v>14</v>
      </c>
      <c r="G153" s="11">
        <v>811.4</v>
      </c>
      <c r="H153" s="12">
        <f t="shared" si="2"/>
        <v>11359.6</v>
      </c>
      <c r="I153" s="14" t="s">
        <v>24</v>
      </c>
    </row>
    <row r="154" spans="1:9" x14ac:dyDescent="0.3">
      <c r="A154" s="2">
        <v>153</v>
      </c>
      <c r="B154" s="3">
        <v>45412</v>
      </c>
      <c r="C154" s="4" t="s">
        <v>9</v>
      </c>
      <c r="D154" s="2" t="s">
        <v>10</v>
      </c>
      <c r="E154" s="2" t="s">
        <v>15</v>
      </c>
      <c r="F154" s="2">
        <v>2</v>
      </c>
      <c r="G154" s="5">
        <v>24.67</v>
      </c>
      <c r="H154" s="6">
        <f t="shared" si="2"/>
        <v>49.34</v>
      </c>
      <c r="I154" s="7" t="s">
        <v>12</v>
      </c>
    </row>
    <row r="155" spans="1:9" x14ac:dyDescent="0.3">
      <c r="A155" s="8">
        <v>154</v>
      </c>
      <c r="B155" s="9">
        <v>45616</v>
      </c>
      <c r="C155" s="10" t="s">
        <v>19</v>
      </c>
      <c r="D155" s="8" t="s">
        <v>14</v>
      </c>
      <c r="E155" s="8" t="s">
        <v>23</v>
      </c>
      <c r="F155" s="8">
        <v>13</v>
      </c>
      <c r="G155" s="11">
        <v>590.25</v>
      </c>
      <c r="H155" s="12">
        <f t="shared" si="2"/>
        <v>7673.25</v>
      </c>
      <c r="I155" s="13" t="s">
        <v>12</v>
      </c>
    </row>
    <row r="156" spans="1:9" x14ac:dyDescent="0.3">
      <c r="A156" s="2">
        <v>155</v>
      </c>
      <c r="B156" s="3">
        <v>45458</v>
      </c>
      <c r="C156" s="4" t="s">
        <v>22</v>
      </c>
      <c r="D156" s="2" t="s">
        <v>20</v>
      </c>
      <c r="E156" s="2" t="s">
        <v>21</v>
      </c>
      <c r="F156" s="2">
        <v>1</v>
      </c>
      <c r="G156" s="5">
        <v>842.05</v>
      </c>
      <c r="H156" s="6">
        <f t="shared" si="2"/>
        <v>842.05</v>
      </c>
      <c r="I156" s="7" t="s">
        <v>12</v>
      </c>
    </row>
    <row r="157" spans="1:9" x14ac:dyDescent="0.3">
      <c r="A157" s="8">
        <v>156</v>
      </c>
      <c r="B157" s="9">
        <v>45563</v>
      </c>
      <c r="C157" s="10" t="s">
        <v>16</v>
      </c>
      <c r="D157" s="8" t="s">
        <v>14</v>
      </c>
      <c r="E157" s="8" t="s">
        <v>21</v>
      </c>
      <c r="F157" s="8">
        <v>4</v>
      </c>
      <c r="G157" s="11">
        <v>558.41</v>
      </c>
      <c r="H157" s="12">
        <f t="shared" si="2"/>
        <v>2233.64</v>
      </c>
      <c r="I157" s="14" t="s">
        <v>24</v>
      </c>
    </row>
    <row r="158" spans="1:9" x14ac:dyDescent="0.3">
      <c r="A158" s="2">
        <v>157</v>
      </c>
      <c r="B158" s="3">
        <v>45487</v>
      </c>
      <c r="C158" s="4" t="s">
        <v>9</v>
      </c>
      <c r="D158" s="2" t="s">
        <v>17</v>
      </c>
      <c r="E158" s="2" t="s">
        <v>18</v>
      </c>
      <c r="F158" s="2">
        <v>10</v>
      </c>
      <c r="G158" s="5">
        <v>540.05999999999995</v>
      </c>
      <c r="H158" s="6">
        <f t="shared" si="2"/>
        <v>5400.5999999999995</v>
      </c>
      <c r="I158" s="17" t="s">
        <v>25</v>
      </c>
    </row>
    <row r="159" spans="1:9" x14ac:dyDescent="0.3">
      <c r="A159" s="8">
        <v>158</v>
      </c>
      <c r="B159" s="9">
        <v>45618</v>
      </c>
      <c r="C159" s="10" t="s">
        <v>19</v>
      </c>
      <c r="D159" s="8" t="s">
        <v>20</v>
      </c>
      <c r="E159" s="8" t="s">
        <v>15</v>
      </c>
      <c r="F159" s="8">
        <v>8</v>
      </c>
      <c r="G159" s="11">
        <v>38.61</v>
      </c>
      <c r="H159" s="12">
        <f t="shared" si="2"/>
        <v>308.88</v>
      </c>
      <c r="I159" s="13" t="s">
        <v>12</v>
      </c>
    </row>
    <row r="160" spans="1:9" x14ac:dyDescent="0.3">
      <c r="A160" s="2">
        <v>159</v>
      </c>
      <c r="B160" s="3">
        <v>45439</v>
      </c>
      <c r="C160" s="4" t="s">
        <v>9</v>
      </c>
      <c r="D160" s="2" t="s">
        <v>10</v>
      </c>
      <c r="E160" s="2" t="s">
        <v>11</v>
      </c>
      <c r="F160" s="2">
        <v>8</v>
      </c>
      <c r="G160" s="5">
        <v>1698.91</v>
      </c>
      <c r="H160" s="6">
        <f t="shared" si="2"/>
        <v>13591.28</v>
      </c>
      <c r="I160" s="17" t="s">
        <v>25</v>
      </c>
    </row>
    <row r="161" spans="1:9" x14ac:dyDescent="0.3">
      <c r="A161" s="8">
        <v>160</v>
      </c>
      <c r="B161" s="9">
        <v>45445</v>
      </c>
      <c r="C161" s="10" t="s">
        <v>22</v>
      </c>
      <c r="D161" s="8" t="s">
        <v>17</v>
      </c>
      <c r="E161" s="8" t="s">
        <v>23</v>
      </c>
      <c r="F161" s="8">
        <v>10</v>
      </c>
      <c r="G161" s="11">
        <v>575.36</v>
      </c>
      <c r="H161" s="12">
        <f t="shared" si="2"/>
        <v>5753.6</v>
      </c>
      <c r="I161" s="14" t="s">
        <v>24</v>
      </c>
    </row>
    <row r="162" spans="1:9" x14ac:dyDescent="0.3">
      <c r="A162" s="2">
        <v>161</v>
      </c>
      <c r="B162" s="3">
        <v>45539</v>
      </c>
      <c r="C162" s="4" t="s">
        <v>9</v>
      </c>
      <c r="D162" s="2" t="s">
        <v>17</v>
      </c>
      <c r="E162" s="2" t="s">
        <v>21</v>
      </c>
      <c r="F162" s="2">
        <v>7</v>
      </c>
      <c r="G162" s="5">
        <v>419.53</v>
      </c>
      <c r="H162" s="6">
        <f t="shared" si="2"/>
        <v>2936.71</v>
      </c>
      <c r="I162" s="7" t="s">
        <v>12</v>
      </c>
    </row>
    <row r="163" spans="1:9" x14ac:dyDescent="0.3">
      <c r="A163" s="8">
        <v>162</v>
      </c>
      <c r="B163" s="9">
        <v>45650</v>
      </c>
      <c r="C163" s="10" t="s">
        <v>13</v>
      </c>
      <c r="D163" s="8" t="s">
        <v>17</v>
      </c>
      <c r="E163" s="8" t="s">
        <v>15</v>
      </c>
      <c r="F163" s="8">
        <v>5</v>
      </c>
      <c r="G163" s="11">
        <v>66.66</v>
      </c>
      <c r="H163" s="12">
        <f t="shared" si="2"/>
        <v>333.29999999999995</v>
      </c>
      <c r="I163" s="13" t="s">
        <v>12</v>
      </c>
    </row>
    <row r="164" spans="1:9" x14ac:dyDescent="0.3">
      <c r="A164" s="2">
        <v>163</v>
      </c>
      <c r="B164" s="3">
        <v>45643</v>
      </c>
      <c r="C164" s="4" t="s">
        <v>16</v>
      </c>
      <c r="D164" s="2" t="s">
        <v>17</v>
      </c>
      <c r="E164" s="2" t="s">
        <v>21</v>
      </c>
      <c r="F164" s="2">
        <v>14</v>
      </c>
      <c r="G164" s="5">
        <v>304.86</v>
      </c>
      <c r="H164" s="6">
        <f t="shared" si="2"/>
        <v>4268.04</v>
      </c>
      <c r="I164" s="7" t="s">
        <v>12</v>
      </c>
    </row>
    <row r="165" spans="1:9" x14ac:dyDescent="0.3">
      <c r="A165" s="8">
        <v>164</v>
      </c>
      <c r="B165" s="9">
        <v>45602</v>
      </c>
      <c r="C165" s="10" t="s">
        <v>9</v>
      </c>
      <c r="D165" s="8" t="s">
        <v>14</v>
      </c>
      <c r="E165" s="8" t="s">
        <v>21</v>
      </c>
      <c r="F165" s="8">
        <v>4</v>
      </c>
      <c r="G165" s="11">
        <v>765.44</v>
      </c>
      <c r="H165" s="12">
        <f t="shared" si="2"/>
        <v>3061.76</v>
      </c>
      <c r="I165" s="13" t="s">
        <v>12</v>
      </c>
    </row>
    <row r="166" spans="1:9" x14ac:dyDescent="0.3">
      <c r="A166" s="2">
        <v>165</v>
      </c>
      <c r="B166" s="3">
        <v>45629</v>
      </c>
      <c r="C166" s="4" t="s">
        <v>13</v>
      </c>
      <c r="D166" s="2" t="s">
        <v>10</v>
      </c>
      <c r="E166" s="2" t="s">
        <v>15</v>
      </c>
      <c r="F166" s="2">
        <v>13</v>
      </c>
      <c r="G166" s="5">
        <v>52.58</v>
      </c>
      <c r="H166" s="6">
        <f t="shared" si="2"/>
        <v>683.54</v>
      </c>
      <c r="I166" s="7" t="s">
        <v>12</v>
      </c>
    </row>
    <row r="167" spans="1:9" x14ac:dyDescent="0.3">
      <c r="A167" s="8">
        <v>166</v>
      </c>
      <c r="B167" s="9">
        <v>45588</v>
      </c>
      <c r="C167" s="10" t="s">
        <v>9</v>
      </c>
      <c r="D167" s="8" t="s">
        <v>10</v>
      </c>
      <c r="E167" s="8" t="s">
        <v>21</v>
      </c>
      <c r="F167" s="8">
        <v>1</v>
      </c>
      <c r="G167" s="11">
        <v>773.17</v>
      </c>
      <c r="H167" s="12">
        <f t="shared" si="2"/>
        <v>773.17</v>
      </c>
      <c r="I167" s="13" t="s">
        <v>12</v>
      </c>
    </row>
    <row r="168" spans="1:9" x14ac:dyDescent="0.3">
      <c r="A168" s="2">
        <v>167</v>
      </c>
      <c r="B168" s="3">
        <v>45381</v>
      </c>
      <c r="C168" s="4" t="s">
        <v>9</v>
      </c>
      <c r="D168" s="2" t="s">
        <v>20</v>
      </c>
      <c r="E168" s="2" t="s">
        <v>21</v>
      </c>
      <c r="F168" s="2">
        <v>7</v>
      </c>
      <c r="G168" s="5">
        <v>496.03</v>
      </c>
      <c r="H168" s="6">
        <f t="shared" si="2"/>
        <v>3472.21</v>
      </c>
      <c r="I168" s="7" t="s">
        <v>12</v>
      </c>
    </row>
    <row r="169" spans="1:9" x14ac:dyDescent="0.3">
      <c r="A169" s="8">
        <v>168</v>
      </c>
      <c r="B169" s="9">
        <v>45376</v>
      </c>
      <c r="C169" s="10" t="s">
        <v>19</v>
      </c>
      <c r="D169" s="8" t="s">
        <v>20</v>
      </c>
      <c r="E169" s="8" t="s">
        <v>15</v>
      </c>
      <c r="F169" s="8">
        <v>5</v>
      </c>
      <c r="G169" s="11">
        <v>85.23</v>
      </c>
      <c r="H169" s="12">
        <f t="shared" si="2"/>
        <v>426.15000000000003</v>
      </c>
      <c r="I169" s="13" t="s">
        <v>12</v>
      </c>
    </row>
    <row r="170" spans="1:9" x14ac:dyDescent="0.3">
      <c r="A170" s="2">
        <v>169</v>
      </c>
      <c r="B170" s="3">
        <v>45330</v>
      </c>
      <c r="C170" s="4" t="s">
        <v>9</v>
      </c>
      <c r="D170" s="2" t="s">
        <v>17</v>
      </c>
      <c r="E170" s="2" t="s">
        <v>21</v>
      </c>
      <c r="F170" s="2">
        <v>8</v>
      </c>
      <c r="G170" s="5">
        <v>782.54</v>
      </c>
      <c r="H170" s="6">
        <f t="shared" si="2"/>
        <v>6260.32</v>
      </c>
      <c r="I170" s="7" t="s">
        <v>12</v>
      </c>
    </row>
    <row r="171" spans="1:9" x14ac:dyDescent="0.3">
      <c r="A171" s="8">
        <v>170</v>
      </c>
      <c r="B171" s="9">
        <v>45494</v>
      </c>
      <c r="C171" s="10" t="s">
        <v>22</v>
      </c>
      <c r="D171" s="8" t="s">
        <v>10</v>
      </c>
      <c r="E171" s="8" t="s">
        <v>15</v>
      </c>
      <c r="F171" s="8">
        <v>13</v>
      </c>
      <c r="G171" s="11">
        <v>67.55</v>
      </c>
      <c r="H171" s="12">
        <f t="shared" si="2"/>
        <v>878.15</v>
      </c>
      <c r="I171" s="13" t="s">
        <v>12</v>
      </c>
    </row>
    <row r="172" spans="1:9" x14ac:dyDescent="0.3">
      <c r="A172" s="2">
        <v>171</v>
      </c>
      <c r="B172" s="3">
        <v>45636</v>
      </c>
      <c r="C172" s="4" t="s">
        <v>16</v>
      </c>
      <c r="D172" s="2" t="s">
        <v>17</v>
      </c>
      <c r="E172" s="2" t="s">
        <v>23</v>
      </c>
      <c r="F172" s="2">
        <v>12</v>
      </c>
      <c r="G172" s="5">
        <v>315.86</v>
      </c>
      <c r="H172" s="6">
        <f t="shared" si="2"/>
        <v>3790.32</v>
      </c>
      <c r="I172" s="7" t="s">
        <v>12</v>
      </c>
    </row>
    <row r="173" spans="1:9" x14ac:dyDescent="0.3">
      <c r="A173" s="8">
        <v>172</v>
      </c>
      <c r="B173" s="9">
        <v>45533</v>
      </c>
      <c r="C173" s="10" t="s">
        <v>16</v>
      </c>
      <c r="D173" s="8" t="s">
        <v>20</v>
      </c>
      <c r="E173" s="8" t="s">
        <v>21</v>
      </c>
      <c r="F173" s="8">
        <v>4</v>
      </c>
      <c r="G173" s="11">
        <v>365.01</v>
      </c>
      <c r="H173" s="12">
        <f t="shared" si="2"/>
        <v>1460.04</v>
      </c>
      <c r="I173" s="13" t="s">
        <v>12</v>
      </c>
    </row>
    <row r="174" spans="1:9" x14ac:dyDescent="0.3">
      <c r="A174" s="2">
        <v>173</v>
      </c>
      <c r="B174" s="3">
        <v>45617</v>
      </c>
      <c r="C174" s="4" t="s">
        <v>22</v>
      </c>
      <c r="D174" s="2" t="s">
        <v>17</v>
      </c>
      <c r="E174" s="2" t="s">
        <v>15</v>
      </c>
      <c r="F174" s="2">
        <v>2</v>
      </c>
      <c r="G174" s="5">
        <v>48.78</v>
      </c>
      <c r="H174" s="6">
        <f t="shared" si="2"/>
        <v>97.56</v>
      </c>
      <c r="I174" s="16" t="s">
        <v>24</v>
      </c>
    </row>
    <row r="175" spans="1:9" x14ac:dyDescent="0.3">
      <c r="A175" s="8">
        <v>174</v>
      </c>
      <c r="B175" s="9">
        <v>45447</v>
      </c>
      <c r="C175" s="10" t="s">
        <v>13</v>
      </c>
      <c r="D175" s="8" t="s">
        <v>10</v>
      </c>
      <c r="E175" s="8" t="s">
        <v>11</v>
      </c>
      <c r="F175" s="8">
        <v>1</v>
      </c>
      <c r="G175" s="11">
        <v>939.78</v>
      </c>
      <c r="H175" s="12">
        <f t="shared" si="2"/>
        <v>939.78</v>
      </c>
      <c r="I175" s="14" t="s">
        <v>24</v>
      </c>
    </row>
    <row r="176" spans="1:9" x14ac:dyDescent="0.3">
      <c r="A176" s="2">
        <v>175</v>
      </c>
      <c r="B176" s="3">
        <v>45490</v>
      </c>
      <c r="C176" s="4" t="s">
        <v>22</v>
      </c>
      <c r="D176" s="2" t="s">
        <v>17</v>
      </c>
      <c r="E176" s="2" t="s">
        <v>18</v>
      </c>
      <c r="F176" s="2">
        <v>3</v>
      </c>
      <c r="G176" s="5">
        <v>1109.81</v>
      </c>
      <c r="H176" s="6">
        <f t="shared" si="2"/>
        <v>3329.43</v>
      </c>
      <c r="I176" s="16" t="s">
        <v>24</v>
      </c>
    </row>
    <row r="177" spans="1:9" x14ac:dyDescent="0.3">
      <c r="A177" s="8">
        <v>176</v>
      </c>
      <c r="B177" s="9">
        <v>45504</v>
      </c>
      <c r="C177" s="10" t="s">
        <v>19</v>
      </c>
      <c r="D177" s="8" t="s">
        <v>17</v>
      </c>
      <c r="E177" s="8" t="s">
        <v>15</v>
      </c>
      <c r="F177" s="8">
        <v>3</v>
      </c>
      <c r="G177" s="11">
        <v>116.49</v>
      </c>
      <c r="H177" s="12">
        <f t="shared" si="2"/>
        <v>349.46999999999997</v>
      </c>
      <c r="I177" s="13" t="s">
        <v>12</v>
      </c>
    </row>
    <row r="178" spans="1:9" x14ac:dyDescent="0.3">
      <c r="A178" s="2">
        <v>177</v>
      </c>
      <c r="B178" s="3">
        <v>45403</v>
      </c>
      <c r="C178" s="4" t="s">
        <v>19</v>
      </c>
      <c r="D178" s="2" t="s">
        <v>14</v>
      </c>
      <c r="E178" s="2" t="s">
        <v>21</v>
      </c>
      <c r="F178" s="2">
        <v>6</v>
      </c>
      <c r="G178" s="5">
        <v>319.63</v>
      </c>
      <c r="H178" s="6">
        <f t="shared" si="2"/>
        <v>1917.78</v>
      </c>
      <c r="I178" s="16" t="s">
        <v>24</v>
      </c>
    </row>
    <row r="179" spans="1:9" x14ac:dyDescent="0.3">
      <c r="A179" s="8">
        <v>178</v>
      </c>
      <c r="B179" s="9">
        <v>45480</v>
      </c>
      <c r="C179" s="10" t="s">
        <v>22</v>
      </c>
      <c r="D179" s="8" t="s">
        <v>10</v>
      </c>
      <c r="E179" s="8" t="s">
        <v>21</v>
      </c>
      <c r="F179" s="8">
        <v>11</v>
      </c>
      <c r="G179" s="11">
        <v>359.61</v>
      </c>
      <c r="H179" s="12">
        <f t="shared" si="2"/>
        <v>3955.71</v>
      </c>
      <c r="I179" s="15" t="s">
        <v>25</v>
      </c>
    </row>
    <row r="180" spans="1:9" x14ac:dyDescent="0.3">
      <c r="A180" s="2">
        <v>179</v>
      </c>
      <c r="B180" s="3">
        <v>45524</v>
      </c>
      <c r="C180" s="4" t="s">
        <v>9</v>
      </c>
      <c r="D180" s="2" t="s">
        <v>10</v>
      </c>
      <c r="E180" s="2" t="s">
        <v>23</v>
      </c>
      <c r="F180" s="2">
        <v>2</v>
      </c>
      <c r="G180" s="5">
        <v>274.14999999999998</v>
      </c>
      <c r="H180" s="6">
        <f t="shared" si="2"/>
        <v>548.29999999999995</v>
      </c>
      <c r="I180" s="7" t="s">
        <v>12</v>
      </c>
    </row>
    <row r="181" spans="1:9" x14ac:dyDescent="0.3">
      <c r="A181" s="8">
        <v>180</v>
      </c>
      <c r="B181" s="9">
        <v>45356</v>
      </c>
      <c r="C181" s="10" t="s">
        <v>9</v>
      </c>
      <c r="D181" s="8" t="s">
        <v>10</v>
      </c>
      <c r="E181" s="8" t="s">
        <v>11</v>
      </c>
      <c r="F181" s="8">
        <v>4</v>
      </c>
      <c r="G181" s="11">
        <v>1586.79</v>
      </c>
      <c r="H181" s="12">
        <f t="shared" si="2"/>
        <v>6347.16</v>
      </c>
      <c r="I181" s="15" t="s">
        <v>25</v>
      </c>
    </row>
    <row r="182" spans="1:9" x14ac:dyDescent="0.3">
      <c r="A182" s="2">
        <v>181</v>
      </c>
      <c r="B182" s="3">
        <v>45411</v>
      </c>
      <c r="C182" s="4" t="s">
        <v>9</v>
      </c>
      <c r="D182" s="2" t="s">
        <v>10</v>
      </c>
      <c r="E182" s="2" t="s">
        <v>15</v>
      </c>
      <c r="F182" s="2">
        <v>4</v>
      </c>
      <c r="G182" s="5">
        <v>46.93</v>
      </c>
      <c r="H182" s="6">
        <f t="shared" si="2"/>
        <v>187.72</v>
      </c>
      <c r="I182" s="7" t="s">
        <v>12</v>
      </c>
    </row>
    <row r="183" spans="1:9" x14ac:dyDescent="0.3">
      <c r="A183" s="8">
        <v>182</v>
      </c>
      <c r="B183" s="9">
        <v>45358</v>
      </c>
      <c r="C183" s="10" t="s">
        <v>22</v>
      </c>
      <c r="D183" s="8" t="s">
        <v>14</v>
      </c>
      <c r="E183" s="8" t="s">
        <v>21</v>
      </c>
      <c r="F183" s="8">
        <v>3</v>
      </c>
      <c r="G183" s="11">
        <v>815.04</v>
      </c>
      <c r="H183" s="12">
        <f t="shared" si="2"/>
        <v>2445.12</v>
      </c>
      <c r="I183" s="15" t="s">
        <v>25</v>
      </c>
    </row>
    <row r="184" spans="1:9" x14ac:dyDescent="0.3">
      <c r="A184" s="2">
        <v>183</v>
      </c>
      <c r="B184" s="3">
        <v>45359</v>
      </c>
      <c r="C184" s="4" t="s">
        <v>22</v>
      </c>
      <c r="D184" s="2" t="s">
        <v>14</v>
      </c>
      <c r="E184" s="2" t="s">
        <v>11</v>
      </c>
      <c r="F184" s="2">
        <v>1</v>
      </c>
      <c r="G184" s="5">
        <v>1461.06</v>
      </c>
      <c r="H184" s="6">
        <f t="shared" si="2"/>
        <v>1461.06</v>
      </c>
      <c r="I184" s="7" t="s">
        <v>12</v>
      </c>
    </row>
    <row r="185" spans="1:9" x14ac:dyDescent="0.3">
      <c r="A185" s="8">
        <v>184</v>
      </c>
      <c r="B185" s="9">
        <v>45427</v>
      </c>
      <c r="C185" s="10" t="s">
        <v>9</v>
      </c>
      <c r="D185" s="8" t="s">
        <v>17</v>
      </c>
      <c r="E185" s="8" t="s">
        <v>15</v>
      </c>
      <c r="F185" s="8">
        <v>3</v>
      </c>
      <c r="G185" s="11">
        <v>62.09</v>
      </c>
      <c r="H185" s="12">
        <f t="shared" si="2"/>
        <v>186.27</v>
      </c>
      <c r="I185" s="13" t="s">
        <v>12</v>
      </c>
    </row>
    <row r="186" spans="1:9" x14ac:dyDescent="0.3">
      <c r="A186" s="2">
        <v>185</v>
      </c>
      <c r="B186" s="3">
        <v>45535</v>
      </c>
      <c r="C186" s="4" t="s">
        <v>22</v>
      </c>
      <c r="D186" s="2" t="s">
        <v>10</v>
      </c>
      <c r="E186" s="2" t="s">
        <v>15</v>
      </c>
      <c r="F186" s="2">
        <v>2</v>
      </c>
      <c r="G186" s="5">
        <v>34.770000000000003</v>
      </c>
      <c r="H186" s="6">
        <f t="shared" si="2"/>
        <v>69.540000000000006</v>
      </c>
      <c r="I186" s="16" t="s">
        <v>24</v>
      </c>
    </row>
    <row r="187" spans="1:9" x14ac:dyDescent="0.3">
      <c r="A187" s="8">
        <v>186</v>
      </c>
      <c r="B187" s="9">
        <v>45314</v>
      </c>
      <c r="C187" s="10" t="s">
        <v>22</v>
      </c>
      <c r="D187" s="8" t="s">
        <v>17</v>
      </c>
      <c r="E187" s="8" t="s">
        <v>23</v>
      </c>
      <c r="F187" s="8">
        <v>10</v>
      </c>
      <c r="G187" s="11">
        <v>376.73</v>
      </c>
      <c r="H187" s="12">
        <f t="shared" si="2"/>
        <v>3767.3</v>
      </c>
      <c r="I187" s="15" t="s">
        <v>25</v>
      </c>
    </row>
    <row r="188" spans="1:9" x14ac:dyDescent="0.3">
      <c r="A188" s="2">
        <v>187</v>
      </c>
      <c r="B188" s="3">
        <v>45497</v>
      </c>
      <c r="C188" s="4" t="s">
        <v>13</v>
      </c>
      <c r="D188" s="2" t="s">
        <v>17</v>
      </c>
      <c r="E188" s="2" t="s">
        <v>11</v>
      </c>
      <c r="F188" s="2">
        <v>8</v>
      </c>
      <c r="G188" s="5">
        <v>860.83</v>
      </c>
      <c r="H188" s="6">
        <f t="shared" si="2"/>
        <v>6886.64</v>
      </c>
      <c r="I188" s="16" t="s">
        <v>24</v>
      </c>
    </row>
    <row r="189" spans="1:9" x14ac:dyDescent="0.3">
      <c r="A189" s="8">
        <v>188</v>
      </c>
      <c r="B189" s="9">
        <v>45456</v>
      </c>
      <c r="C189" s="10" t="s">
        <v>9</v>
      </c>
      <c r="D189" s="8" t="s">
        <v>10</v>
      </c>
      <c r="E189" s="8" t="s">
        <v>23</v>
      </c>
      <c r="F189" s="8">
        <v>2</v>
      </c>
      <c r="G189" s="11">
        <v>183.07</v>
      </c>
      <c r="H189" s="12">
        <f t="shared" si="2"/>
        <v>366.14</v>
      </c>
      <c r="I189" s="15" t="s">
        <v>25</v>
      </c>
    </row>
    <row r="190" spans="1:9" x14ac:dyDescent="0.3">
      <c r="A190" s="2">
        <v>189</v>
      </c>
      <c r="B190" s="3">
        <v>45591</v>
      </c>
      <c r="C190" s="4" t="s">
        <v>22</v>
      </c>
      <c r="D190" s="2" t="s">
        <v>17</v>
      </c>
      <c r="E190" s="2" t="s">
        <v>18</v>
      </c>
      <c r="F190" s="2">
        <v>11</v>
      </c>
      <c r="G190" s="5">
        <v>620.01</v>
      </c>
      <c r="H190" s="6">
        <f t="shared" si="2"/>
        <v>6820.11</v>
      </c>
      <c r="I190" s="17" t="s">
        <v>25</v>
      </c>
    </row>
    <row r="191" spans="1:9" x14ac:dyDescent="0.3">
      <c r="A191" s="8">
        <v>190</v>
      </c>
      <c r="B191" s="9">
        <v>45550</v>
      </c>
      <c r="C191" s="10" t="s">
        <v>19</v>
      </c>
      <c r="D191" s="8" t="s">
        <v>10</v>
      </c>
      <c r="E191" s="8" t="s">
        <v>15</v>
      </c>
      <c r="F191" s="8">
        <v>8</v>
      </c>
      <c r="G191" s="11">
        <v>88.97</v>
      </c>
      <c r="H191" s="12">
        <f t="shared" si="2"/>
        <v>711.76</v>
      </c>
      <c r="I191" s="15" t="s">
        <v>25</v>
      </c>
    </row>
    <row r="192" spans="1:9" x14ac:dyDescent="0.3">
      <c r="A192" s="2">
        <v>191</v>
      </c>
      <c r="B192" s="3">
        <v>45574</v>
      </c>
      <c r="C192" s="4" t="s">
        <v>19</v>
      </c>
      <c r="D192" s="2" t="s">
        <v>17</v>
      </c>
      <c r="E192" s="2" t="s">
        <v>11</v>
      </c>
      <c r="F192" s="2">
        <v>11</v>
      </c>
      <c r="G192" s="5">
        <v>1652.79</v>
      </c>
      <c r="H192" s="6">
        <f t="shared" si="2"/>
        <v>18180.689999999999</v>
      </c>
      <c r="I192" s="7" t="s">
        <v>12</v>
      </c>
    </row>
    <row r="193" spans="1:9" x14ac:dyDescent="0.3">
      <c r="A193" s="8">
        <v>192</v>
      </c>
      <c r="B193" s="9">
        <v>45524</v>
      </c>
      <c r="C193" s="10" t="s">
        <v>19</v>
      </c>
      <c r="D193" s="8" t="s">
        <v>10</v>
      </c>
      <c r="E193" s="8" t="s">
        <v>18</v>
      </c>
      <c r="F193" s="8">
        <v>14</v>
      </c>
      <c r="G193" s="11">
        <v>731.05</v>
      </c>
      <c r="H193" s="12">
        <f t="shared" si="2"/>
        <v>10234.699999999999</v>
      </c>
      <c r="I193" s="14" t="s">
        <v>24</v>
      </c>
    </row>
    <row r="194" spans="1:9" x14ac:dyDescent="0.3">
      <c r="A194" s="2">
        <v>193</v>
      </c>
      <c r="B194" s="3">
        <v>45422</v>
      </c>
      <c r="C194" s="4" t="s">
        <v>9</v>
      </c>
      <c r="D194" s="2" t="s">
        <v>17</v>
      </c>
      <c r="E194" s="2" t="s">
        <v>21</v>
      </c>
      <c r="F194" s="2">
        <v>11</v>
      </c>
      <c r="G194" s="5">
        <v>556.05999999999995</v>
      </c>
      <c r="H194" s="6">
        <f t="shared" ref="H194:H257" si="3">F194*G194</f>
        <v>6116.66</v>
      </c>
      <c r="I194" s="7" t="s">
        <v>12</v>
      </c>
    </row>
    <row r="195" spans="1:9" x14ac:dyDescent="0.3">
      <c r="A195" s="8">
        <v>194</v>
      </c>
      <c r="B195" s="9">
        <v>45339</v>
      </c>
      <c r="C195" s="10" t="s">
        <v>13</v>
      </c>
      <c r="D195" s="8" t="s">
        <v>20</v>
      </c>
      <c r="E195" s="8" t="s">
        <v>11</v>
      </c>
      <c r="F195" s="8">
        <v>2</v>
      </c>
      <c r="G195" s="11">
        <v>891.22</v>
      </c>
      <c r="H195" s="12">
        <f t="shared" si="3"/>
        <v>1782.44</v>
      </c>
      <c r="I195" s="14" t="s">
        <v>24</v>
      </c>
    </row>
    <row r="196" spans="1:9" x14ac:dyDescent="0.3">
      <c r="A196" s="2">
        <v>195</v>
      </c>
      <c r="B196" s="3">
        <v>45579</v>
      </c>
      <c r="C196" s="4" t="s">
        <v>22</v>
      </c>
      <c r="D196" s="2" t="s">
        <v>10</v>
      </c>
      <c r="E196" s="2" t="s">
        <v>18</v>
      </c>
      <c r="F196" s="2">
        <v>10</v>
      </c>
      <c r="G196" s="5">
        <v>845.1</v>
      </c>
      <c r="H196" s="6">
        <f t="shared" si="3"/>
        <v>8451</v>
      </c>
      <c r="I196" s="17" t="s">
        <v>25</v>
      </c>
    </row>
    <row r="197" spans="1:9" x14ac:dyDescent="0.3">
      <c r="A197" s="8">
        <v>196</v>
      </c>
      <c r="B197" s="9">
        <v>45508</v>
      </c>
      <c r="C197" s="10" t="s">
        <v>22</v>
      </c>
      <c r="D197" s="8" t="s">
        <v>20</v>
      </c>
      <c r="E197" s="8" t="s">
        <v>23</v>
      </c>
      <c r="F197" s="8">
        <v>11</v>
      </c>
      <c r="G197" s="11">
        <v>309.12</v>
      </c>
      <c r="H197" s="12">
        <f t="shared" si="3"/>
        <v>3400.32</v>
      </c>
      <c r="I197" s="13" t="s">
        <v>12</v>
      </c>
    </row>
    <row r="198" spans="1:9" x14ac:dyDescent="0.3">
      <c r="A198" s="2">
        <v>197</v>
      </c>
      <c r="B198" s="3">
        <v>45400</v>
      </c>
      <c r="C198" s="4" t="s">
        <v>19</v>
      </c>
      <c r="D198" s="2" t="s">
        <v>14</v>
      </c>
      <c r="E198" s="2" t="s">
        <v>21</v>
      </c>
      <c r="F198" s="2">
        <v>9</v>
      </c>
      <c r="G198" s="5">
        <v>362.16</v>
      </c>
      <c r="H198" s="6">
        <f t="shared" si="3"/>
        <v>3259.44</v>
      </c>
      <c r="I198" s="7" t="s">
        <v>12</v>
      </c>
    </row>
    <row r="199" spans="1:9" x14ac:dyDescent="0.3">
      <c r="A199" s="8">
        <v>198</v>
      </c>
      <c r="B199" s="9">
        <v>45480</v>
      </c>
      <c r="C199" s="10" t="s">
        <v>22</v>
      </c>
      <c r="D199" s="8" t="s">
        <v>14</v>
      </c>
      <c r="E199" s="8" t="s">
        <v>11</v>
      </c>
      <c r="F199" s="8">
        <v>9</v>
      </c>
      <c r="G199" s="11">
        <v>1150.1099999999999</v>
      </c>
      <c r="H199" s="12">
        <f t="shared" si="3"/>
        <v>10350.99</v>
      </c>
      <c r="I199" s="13" t="s">
        <v>12</v>
      </c>
    </row>
    <row r="200" spans="1:9" x14ac:dyDescent="0.3">
      <c r="A200" s="2">
        <v>199</v>
      </c>
      <c r="B200" s="3">
        <v>45610</v>
      </c>
      <c r="C200" s="4" t="s">
        <v>16</v>
      </c>
      <c r="D200" s="2" t="s">
        <v>10</v>
      </c>
      <c r="E200" s="2" t="s">
        <v>23</v>
      </c>
      <c r="F200" s="2">
        <v>13</v>
      </c>
      <c r="G200" s="5">
        <v>530.32000000000005</v>
      </c>
      <c r="H200" s="6">
        <f t="shared" si="3"/>
        <v>6894.1600000000008</v>
      </c>
      <c r="I200" s="17" t="s">
        <v>25</v>
      </c>
    </row>
    <row r="201" spans="1:9" x14ac:dyDescent="0.3">
      <c r="A201" s="8">
        <v>200</v>
      </c>
      <c r="B201" s="9">
        <v>45647</v>
      </c>
      <c r="C201" s="10" t="s">
        <v>13</v>
      </c>
      <c r="D201" s="8" t="s">
        <v>14</v>
      </c>
      <c r="E201" s="8" t="s">
        <v>15</v>
      </c>
      <c r="F201" s="8">
        <v>14</v>
      </c>
      <c r="G201" s="11">
        <v>140.78</v>
      </c>
      <c r="H201" s="12">
        <f t="shared" si="3"/>
        <v>1970.92</v>
      </c>
      <c r="I201" s="13" t="s">
        <v>12</v>
      </c>
    </row>
    <row r="202" spans="1:9" x14ac:dyDescent="0.3">
      <c r="A202" s="2">
        <v>201</v>
      </c>
      <c r="B202" s="3">
        <v>45465</v>
      </c>
      <c r="C202" s="4" t="s">
        <v>13</v>
      </c>
      <c r="D202" s="2" t="s">
        <v>14</v>
      </c>
      <c r="E202" s="2" t="s">
        <v>21</v>
      </c>
      <c r="F202" s="2">
        <v>5</v>
      </c>
      <c r="G202" s="5">
        <v>721.62</v>
      </c>
      <c r="H202" s="6">
        <f t="shared" si="3"/>
        <v>3608.1</v>
      </c>
      <c r="I202" s="7" t="s">
        <v>12</v>
      </c>
    </row>
    <row r="203" spans="1:9" x14ac:dyDescent="0.3">
      <c r="A203" s="8">
        <v>202</v>
      </c>
      <c r="B203" s="9">
        <v>45327</v>
      </c>
      <c r="C203" s="10" t="s">
        <v>13</v>
      </c>
      <c r="D203" s="8" t="s">
        <v>10</v>
      </c>
      <c r="E203" s="8" t="s">
        <v>18</v>
      </c>
      <c r="F203" s="8">
        <v>7</v>
      </c>
      <c r="G203" s="11">
        <v>853.06</v>
      </c>
      <c r="H203" s="12">
        <f t="shared" si="3"/>
        <v>5971.42</v>
      </c>
      <c r="I203" s="13" t="s">
        <v>12</v>
      </c>
    </row>
    <row r="204" spans="1:9" x14ac:dyDescent="0.3">
      <c r="A204" s="2">
        <v>203</v>
      </c>
      <c r="B204" s="3">
        <v>45524</v>
      </c>
      <c r="C204" s="4" t="s">
        <v>9</v>
      </c>
      <c r="D204" s="2" t="s">
        <v>20</v>
      </c>
      <c r="E204" s="2" t="s">
        <v>15</v>
      </c>
      <c r="F204" s="2">
        <v>7</v>
      </c>
      <c r="G204" s="5">
        <v>47.97</v>
      </c>
      <c r="H204" s="6">
        <f t="shared" si="3"/>
        <v>335.78999999999996</v>
      </c>
      <c r="I204" s="7" t="s">
        <v>12</v>
      </c>
    </row>
    <row r="205" spans="1:9" x14ac:dyDescent="0.3">
      <c r="A205" s="8">
        <v>204</v>
      </c>
      <c r="B205" s="9">
        <v>45582</v>
      </c>
      <c r="C205" s="10" t="s">
        <v>13</v>
      </c>
      <c r="D205" s="8" t="s">
        <v>10</v>
      </c>
      <c r="E205" s="8" t="s">
        <v>21</v>
      </c>
      <c r="F205" s="8">
        <v>13</v>
      </c>
      <c r="G205" s="11">
        <v>732.96</v>
      </c>
      <c r="H205" s="12">
        <f t="shared" si="3"/>
        <v>9528.48</v>
      </c>
      <c r="I205" s="15" t="s">
        <v>25</v>
      </c>
    </row>
    <row r="206" spans="1:9" x14ac:dyDescent="0.3">
      <c r="A206" s="2">
        <v>205</v>
      </c>
      <c r="B206" s="3">
        <v>45317</v>
      </c>
      <c r="C206" s="4" t="s">
        <v>22</v>
      </c>
      <c r="D206" s="2" t="s">
        <v>17</v>
      </c>
      <c r="E206" s="2" t="s">
        <v>18</v>
      </c>
      <c r="F206" s="2">
        <v>10</v>
      </c>
      <c r="G206" s="5">
        <v>525.92999999999995</v>
      </c>
      <c r="H206" s="6">
        <f t="shared" si="3"/>
        <v>5259.2999999999993</v>
      </c>
      <c r="I206" s="7" t="s">
        <v>12</v>
      </c>
    </row>
    <row r="207" spans="1:9" x14ac:dyDescent="0.3">
      <c r="A207" s="8">
        <v>206</v>
      </c>
      <c r="B207" s="9">
        <v>45504</v>
      </c>
      <c r="C207" s="10" t="s">
        <v>9</v>
      </c>
      <c r="D207" s="8" t="s">
        <v>10</v>
      </c>
      <c r="E207" s="8" t="s">
        <v>23</v>
      </c>
      <c r="F207" s="8">
        <v>8</v>
      </c>
      <c r="G207" s="11">
        <v>368.55</v>
      </c>
      <c r="H207" s="12">
        <f t="shared" si="3"/>
        <v>2948.4</v>
      </c>
      <c r="I207" s="13" t="s">
        <v>12</v>
      </c>
    </row>
    <row r="208" spans="1:9" x14ac:dyDescent="0.3">
      <c r="A208" s="2">
        <v>207</v>
      </c>
      <c r="B208" s="3">
        <v>45639</v>
      </c>
      <c r="C208" s="4" t="s">
        <v>19</v>
      </c>
      <c r="D208" s="2" t="s">
        <v>20</v>
      </c>
      <c r="E208" s="2" t="s">
        <v>21</v>
      </c>
      <c r="F208" s="2">
        <v>5</v>
      </c>
      <c r="G208" s="5">
        <v>557.95000000000005</v>
      </c>
      <c r="H208" s="6">
        <f t="shared" si="3"/>
        <v>2789.75</v>
      </c>
      <c r="I208" s="17" t="s">
        <v>25</v>
      </c>
    </row>
    <row r="209" spans="1:9" x14ac:dyDescent="0.3">
      <c r="A209" s="8">
        <v>208</v>
      </c>
      <c r="B209" s="9">
        <v>45320</v>
      </c>
      <c r="C209" s="10" t="s">
        <v>9</v>
      </c>
      <c r="D209" s="8" t="s">
        <v>20</v>
      </c>
      <c r="E209" s="8" t="s">
        <v>11</v>
      </c>
      <c r="F209" s="8">
        <v>10</v>
      </c>
      <c r="G209" s="11">
        <v>1020.52</v>
      </c>
      <c r="H209" s="12">
        <f t="shared" si="3"/>
        <v>10205.200000000001</v>
      </c>
      <c r="I209" s="13" t="s">
        <v>12</v>
      </c>
    </row>
    <row r="210" spans="1:9" x14ac:dyDescent="0.3">
      <c r="A210" s="2">
        <v>209</v>
      </c>
      <c r="B210" s="3">
        <v>45422</v>
      </c>
      <c r="C210" s="4" t="s">
        <v>22</v>
      </c>
      <c r="D210" s="2" t="s">
        <v>10</v>
      </c>
      <c r="E210" s="2" t="s">
        <v>18</v>
      </c>
      <c r="F210" s="2">
        <v>13</v>
      </c>
      <c r="G210" s="5">
        <v>1013.88</v>
      </c>
      <c r="H210" s="6">
        <f t="shared" si="3"/>
        <v>13180.44</v>
      </c>
      <c r="I210" s="7" t="s">
        <v>12</v>
      </c>
    </row>
    <row r="211" spans="1:9" x14ac:dyDescent="0.3">
      <c r="A211" s="8">
        <v>210</v>
      </c>
      <c r="B211" s="9">
        <v>45381</v>
      </c>
      <c r="C211" s="10" t="s">
        <v>19</v>
      </c>
      <c r="D211" s="8" t="s">
        <v>14</v>
      </c>
      <c r="E211" s="8" t="s">
        <v>11</v>
      </c>
      <c r="F211" s="8">
        <v>7</v>
      </c>
      <c r="G211" s="11">
        <v>1297.3900000000001</v>
      </c>
      <c r="H211" s="12">
        <f t="shared" si="3"/>
        <v>9081.7300000000014</v>
      </c>
      <c r="I211" s="13" t="s">
        <v>12</v>
      </c>
    </row>
    <row r="212" spans="1:9" x14ac:dyDescent="0.3">
      <c r="A212" s="2">
        <v>211</v>
      </c>
      <c r="B212" s="3">
        <v>45473</v>
      </c>
      <c r="C212" s="4" t="s">
        <v>19</v>
      </c>
      <c r="D212" s="2" t="s">
        <v>10</v>
      </c>
      <c r="E212" s="2" t="s">
        <v>15</v>
      </c>
      <c r="F212" s="2">
        <v>11</v>
      </c>
      <c r="G212" s="5">
        <v>92.63</v>
      </c>
      <c r="H212" s="6">
        <f t="shared" si="3"/>
        <v>1018.93</v>
      </c>
      <c r="I212" s="7" t="s">
        <v>12</v>
      </c>
    </row>
    <row r="213" spans="1:9" x14ac:dyDescent="0.3">
      <c r="A213" s="8">
        <v>212</v>
      </c>
      <c r="B213" s="9">
        <v>45331</v>
      </c>
      <c r="C213" s="10" t="s">
        <v>16</v>
      </c>
      <c r="D213" s="8" t="s">
        <v>17</v>
      </c>
      <c r="E213" s="8" t="s">
        <v>23</v>
      </c>
      <c r="F213" s="8">
        <v>15</v>
      </c>
      <c r="G213" s="11">
        <v>158.43</v>
      </c>
      <c r="H213" s="12">
        <f t="shared" si="3"/>
        <v>2376.4500000000003</v>
      </c>
      <c r="I213" s="13" t="s">
        <v>12</v>
      </c>
    </row>
    <row r="214" spans="1:9" x14ac:dyDescent="0.3">
      <c r="A214" s="2">
        <v>213</v>
      </c>
      <c r="B214" s="3">
        <v>45505</v>
      </c>
      <c r="C214" s="4" t="s">
        <v>13</v>
      </c>
      <c r="D214" s="2" t="s">
        <v>17</v>
      </c>
      <c r="E214" s="2" t="s">
        <v>15</v>
      </c>
      <c r="F214" s="2">
        <v>11</v>
      </c>
      <c r="G214" s="5">
        <v>72.569999999999993</v>
      </c>
      <c r="H214" s="6">
        <f t="shared" si="3"/>
        <v>798.27</v>
      </c>
      <c r="I214" s="7" t="s">
        <v>12</v>
      </c>
    </row>
    <row r="215" spans="1:9" x14ac:dyDescent="0.3">
      <c r="A215" s="8">
        <v>214</v>
      </c>
      <c r="B215" s="9">
        <v>45608</v>
      </c>
      <c r="C215" s="10" t="s">
        <v>22</v>
      </c>
      <c r="D215" s="8" t="s">
        <v>10</v>
      </c>
      <c r="E215" s="8" t="s">
        <v>11</v>
      </c>
      <c r="F215" s="8">
        <v>3</v>
      </c>
      <c r="G215" s="11">
        <v>1766.2</v>
      </c>
      <c r="H215" s="12">
        <f t="shared" si="3"/>
        <v>5298.6</v>
      </c>
      <c r="I215" s="14" t="s">
        <v>24</v>
      </c>
    </row>
    <row r="216" spans="1:9" x14ac:dyDescent="0.3">
      <c r="A216" s="2">
        <v>215</v>
      </c>
      <c r="B216" s="3">
        <v>45515</v>
      </c>
      <c r="C216" s="4" t="s">
        <v>19</v>
      </c>
      <c r="D216" s="2" t="s">
        <v>10</v>
      </c>
      <c r="E216" s="2" t="s">
        <v>23</v>
      </c>
      <c r="F216" s="2">
        <v>4</v>
      </c>
      <c r="G216" s="5">
        <v>530.02</v>
      </c>
      <c r="H216" s="6">
        <f t="shared" si="3"/>
        <v>2120.08</v>
      </c>
      <c r="I216" s="17" t="s">
        <v>25</v>
      </c>
    </row>
    <row r="217" spans="1:9" x14ac:dyDescent="0.3">
      <c r="A217" s="8">
        <v>216</v>
      </c>
      <c r="B217" s="9">
        <v>45465</v>
      </c>
      <c r="C217" s="10" t="s">
        <v>22</v>
      </c>
      <c r="D217" s="8" t="s">
        <v>14</v>
      </c>
      <c r="E217" s="8" t="s">
        <v>23</v>
      </c>
      <c r="F217" s="8">
        <v>12</v>
      </c>
      <c r="G217" s="11">
        <v>541.74</v>
      </c>
      <c r="H217" s="12">
        <f t="shared" si="3"/>
        <v>6500.88</v>
      </c>
      <c r="I217" s="13" t="s">
        <v>12</v>
      </c>
    </row>
    <row r="218" spans="1:9" x14ac:dyDescent="0.3">
      <c r="A218" s="2">
        <v>217</v>
      </c>
      <c r="B218" s="3">
        <v>45563</v>
      </c>
      <c r="C218" s="4" t="s">
        <v>9</v>
      </c>
      <c r="D218" s="2" t="s">
        <v>20</v>
      </c>
      <c r="E218" s="2" t="s">
        <v>11</v>
      </c>
      <c r="F218" s="2">
        <v>2</v>
      </c>
      <c r="G218" s="5">
        <v>1310.48</v>
      </c>
      <c r="H218" s="6">
        <f t="shared" si="3"/>
        <v>2620.96</v>
      </c>
      <c r="I218" s="17" t="s">
        <v>25</v>
      </c>
    </row>
    <row r="219" spans="1:9" x14ac:dyDescent="0.3">
      <c r="A219" s="8">
        <v>218</v>
      </c>
      <c r="B219" s="9">
        <v>45622</v>
      </c>
      <c r="C219" s="10" t="s">
        <v>9</v>
      </c>
      <c r="D219" s="8" t="s">
        <v>10</v>
      </c>
      <c r="E219" s="8" t="s">
        <v>21</v>
      </c>
      <c r="F219" s="8">
        <v>14</v>
      </c>
      <c r="G219" s="11">
        <v>736.43</v>
      </c>
      <c r="H219" s="12">
        <f t="shared" si="3"/>
        <v>10310.019999999999</v>
      </c>
      <c r="I219" s="13" t="s">
        <v>12</v>
      </c>
    </row>
    <row r="220" spans="1:9" x14ac:dyDescent="0.3">
      <c r="A220" s="2">
        <v>219</v>
      </c>
      <c r="B220" s="3">
        <v>45600</v>
      </c>
      <c r="C220" s="4" t="s">
        <v>13</v>
      </c>
      <c r="D220" s="2" t="s">
        <v>14</v>
      </c>
      <c r="E220" s="2" t="s">
        <v>18</v>
      </c>
      <c r="F220" s="2">
        <v>3</v>
      </c>
      <c r="G220" s="5">
        <v>604.77</v>
      </c>
      <c r="H220" s="6">
        <f t="shared" si="3"/>
        <v>1814.31</v>
      </c>
      <c r="I220" s="7" t="s">
        <v>12</v>
      </c>
    </row>
    <row r="221" spans="1:9" x14ac:dyDescent="0.3">
      <c r="A221" s="8">
        <v>220</v>
      </c>
      <c r="B221" s="9">
        <v>45588</v>
      </c>
      <c r="C221" s="10" t="s">
        <v>16</v>
      </c>
      <c r="D221" s="8" t="s">
        <v>20</v>
      </c>
      <c r="E221" s="8" t="s">
        <v>23</v>
      </c>
      <c r="F221" s="8">
        <v>10</v>
      </c>
      <c r="G221" s="11">
        <v>358.78</v>
      </c>
      <c r="H221" s="12">
        <f t="shared" si="3"/>
        <v>3587.7999999999997</v>
      </c>
      <c r="I221" s="14" t="s">
        <v>24</v>
      </c>
    </row>
    <row r="222" spans="1:9" x14ac:dyDescent="0.3">
      <c r="A222" s="2">
        <v>221</v>
      </c>
      <c r="B222" s="3">
        <v>45532</v>
      </c>
      <c r="C222" s="4" t="s">
        <v>22</v>
      </c>
      <c r="D222" s="2" t="s">
        <v>20</v>
      </c>
      <c r="E222" s="2" t="s">
        <v>21</v>
      </c>
      <c r="F222" s="2">
        <v>2</v>
      </c>
      <c r="G222" s="5">
        <v>390.57</v>
      </c>
      <c r="H222" s="6">
        <f t="shared" si="3"/>
        <v>781.14</v>
      </c>
      <c r="I222" s="16" t="s">
        <v>24</v>
      </c>
    </row>
    <row r="223" spans="1:9" x14ac:dyDescent="0.3">
      <c r="A223" s="8">
        <v>222</v>
      </c>
      <c r="B223" s="9">
        <v>45329</v>
      </c>
      <c r="C223" s="10" t="s">
        <v>19</v>
      </c>
      <c r="D223" s="8" t="s">
        <v>17</v>
      </c>
      <c r="E223" s="8" t="s">
        <v>15</v>
      </c>
      <c r="F223" s="8">
        <v>9</v>
      </c>
      <c r="G223" s="11">
        <v>27.3</v>
      </c>
      <c r="H223" s="12">
        <f t="shared" si="3"/>
        <v>245.70000000000002</v>
      </c>
      <c r="I223" s="13" t="s">
        <v>12</v>
      </c>
    </row>
    <row r="224" spans="1:9" x14ac:dyDescent="0.3">
      <c r="A224" s="2">
        <v>223</v>
      </c>
      <c r="B224" s="3">
        <v>45438</v>
      </c>
      <c r="C224" s="4" t="s">
        <v>13</v>
      </c>
      <c r="D224" s="2" t="s">
        <v>17</v>
      </c>
      <c r="E224" s="2" t="s">
        <v>11</v>
      </c>
      <c r="F224" s="2">
        <v>14</v>
      </c>
      <c r="G224" s="5">
        <v>856.89</v>
      </c>
      <c r="H224" s="6">
        <f t="shared" si="3"/>
        <v>11996.46</v>
      </c>
      <c r="I224" s="7" t="s">
        <v>12</v>
      </c>
    </row>
    <row r="225" spans="1:9" x14ac:dyDescent="0.3">
      <c r="A225" s="8">
        <v>224</v>
      </c>
      <c r="B225" s="9">
        <v>45313</v>
      </c>
      <c r="C225" s="10" t="s">
        <v>16</v>
      </c>
      <c r="D225" s="8" t="s">
        <v>14</v>
      </c>
      <c r="E225" s="8" t="s">
        <v>23</v>
      </c>
      <c r="F225" s="8">
        <v>13</v>
      </c>
      <c r="G225" s="11">
        <v>411.15</v>
      </c>
      <c r="H225" s="12">
        <f t="shared" si="3"/>
        <v>5344.95</v>
      </c>
      <c r="I225" s="14" t="s">
        <v>24</v>
      </c>
    </row>
    <row r="226" spans="1:9" x14ac:dyDescent="0.3">
      <c r="A226" s="2">
        <v>225</v>
      </c>
      <c r="B226" s="3">
        <v>45369</v>
      </c>
      <c r="C226" s="4" t="s">
        <v>19</v>
      </c>
      <c r="D226" s="2" t="s">
        <v>10</v>
      </c>
      <c r="E226" s="2" t="s">
        <v>21</v>
      </c>
      <c r="F226" s="2">
        <v>9</v>
      </c>
      <c r="G226" s="5">
        <v>663</v>
      </c>
      <c r="H226" s="6">
        <f t="shared" si="3"/>
        <v>5967</v>
      </c>
      <c r="I226" s="7" t="s">
        <v>12</v>
      </c>
    </row>
    <row r="227" spans="1:9" x14ac:dyDescent="0.3">
      <c r="A227" s="8">
        <v>226</v>
      </c>
      <c r="B227" s="9">
        <v>45550</v>
      </c>
      <c r="C227" s="10" t="s">
        <v>13</v>
      </c>
      <c r="D227" s="8" t="s">
        <v>14</v>
      </c>
      <c r="E227" s="8" t="s">
        <v>21</v>
      </c>
      <c r="F227" s="8">
        <v>2</v>
      </c>
      <c r="G227" s="11">
        <v>889.43</v>
      </c>
      <c r="H227" s="12">
        <f t="shared" si="3"/>
        <v>1778.86</v>
      </c>
      <c r="I227" s="13" t="s">
        <v>12</v>
      </c>
    </row>
    <row r="228" spans="1:9" x14ac:dyDescent="0.3">
      <c r="A228" s="2">
        <v>227</v>
      </c>
      <c r="B228" s="3">
        <v>45559</v>
      </c>
      <c r="C228" s="4" t="s">
        <v>9</v>
      </c>
      <c r="D228" s="2" t="s">
        <v>20</v>
      </c>
      <c r="E228" s="2" t="s">
        <v>23</v>
      </c>
      <c r="F228" s="2">
        <v>9</v>
      </c>
      <c r="G228" s="5">
        <v>595.94000000000005</v>
      </c>
      <c r="H228" s="6">
        <f t="shared" si="3"/>
        <v>5363.4600000000009</v>
      </c>
      <c r="I228" s="17" t="s">
        <v>25</v>
      </c>
    </row>
    <row r="229" spans="1:9" x14ac:dyDescent="0.3">
      <c r="A229" s="8">
        <v>228</v>
      </c>
      <c r="B229" s="9">
        <v>45501</v>
      </c>
      <c r="C229" s="10" t="s">
        <v>16</v>
      </c>
      <c r="D229" s="8" t="s">
        <v>10</v>
      </c>
      <c r="E229" s="8" t="s">
        <v>21</v>
      </c>
      <c r="F229" s="8">
        <v>7</v>
      </c>
      <c r="G229" s="11">
        <v>850.76</v>
      </c>
      <c r="H229" s="12">
        <f t="shared" si="3"/>
        <v>5955.32</v>
      </c>
      <c r="I229" s="13" t="s">
        <v>12</v>
      </c>
    </row>
    <row r="230" spans="1:9" x14ac:dyDescent="0.3">
      <c r="A230" s="2">
        <v>229</v>
      </c>
      <c r="B230" s="3">
        <v>45577</v>
      </c>
      <c r="C230" s="4" t="s">
        <v>22</v>
      </c>
      <c r="D230" s="2" t="s">
        <v>20</v>
      </c>
      <c r="E230" s="2" t="s">
        <v>21</v>
      </c>
      <c r="F230" s="2">
        <v>2</v>
      </c>
      <c r="G230" s="5">
        <v>339.55</v>
      </c>
      <c r="H230" s="6">
        <f t="shared" si="3"/>
        <v>679.1</v>
      </c>
      <c r="I230" s="16" t="s">
        <v>24</v>
      </c>
    </row>
    <row r="231" spans="1:9" x14ac:dyDescent="0.3">
      <c r="A231" s="8">
        <v>230</v>
      </c>
      <c r="B231" s="9">
        <v>45333</v>
      </c>
      <c r="C231" s="10" t="s">
        <v>9</v>
      </c>
      <c r="D231" s="8" t="s">
        <v>20</v>
      </c>
      <c r="E231" s="8" t="s">
        <v>15</v>
      </c>
      <c r="F231" s="8">
        <v>6</v>
      </c>
      <c r="G231" s="11">
        <v>133.53</v>
      </c>
      <c r="H231" s="12">
        <f t="shared" si="3"/>
        <v>801.18000000000006</v>
      </c>
      <c r="I231" s="15" t="s">
        <v>25</v>
      </c>
    </row>
    <row r="232" spans="1:9" x14ac:dyDescent="0.3">
      <c r="A232" s="2">
        <v>231</v>
      </c>
      <c r="B232" s="3">
        <v>45631</v>
      </c>
      <c r="C232" s="4" t="s">
        <v>9</v>
      </c>
      <c r="D232" s="2" t="s">
        <v>10</v>
      </c>
      <c r="E232" s="2" t="s">
        <v>21</v>
      </c>
      <c r="F232" s="2">
        <v>12</v>
      </c>
      <c r="G232" s="5">
        <v>880.62</v>
      </c>
      <c r="H232" s="6">
        <f t="shared" si="3"/>
        <v>10567.44</v>
      </c>
      <c r="I232" s="16" t="s">
        <v>24</v>
      </c>
    </row>
    <row r="233" spans="1:9" x14ac:dyDescent="0.3">
      <c r="A233" s="8">
        <v>232</v>
      </c>
      <c r="B233" s="9">
        <v>45460</v>
      </c>
      <c r="C233" s="10" t="s">
        <v>16</v>
      </c>
      <c r="D233" s="8" t="s">
        <v>10</v>
      </c>
      <c r="E233" s="8" t="s">
        <v>21</v>
      </c>
      <c r="F233" s="8">
        <v>11</v>
      </c>
      <c r="G233" s="11">
        <v>635.35</v>
      </c>
      <c r="H233" s="12">
        <f t="shared" si="3"/>
        <v>6988.85</v>
      </c>
      <c r="I233" s="13" t="s">
        <v>12</v>
      </c>
    </row>
    <row r="234" spans="1:9" x14ac:dyDescent="0.3">
      <c r="A234" s="2">
        <v>233</v>
      </c>
      <c r="B234" s="3">
        <v>45477</v>
      </c>
      <c r="C234" s="4" t="s">
        <v>9</v>
      </c>
      <c r="D234" s="2" t="s">
        <v>14</v>
      </c>
      <c r="E234" s="2" t="s">
        <v>23</v>
      </c>
      <c r="F234" s="2">
        <v>1</v>
      </c>
      <c r="G234" s="5">
        <v>378.82</v>
      </c>
      <c r="H234" s="6">
        <f t="shared" si="3"/>
        <v>378.82</v>
      </c>
      <c r="I234" s="7" t="s">
        <v>12</v>
      </c>
    </row>
    <row r="235" spans="1:9" x14ac:dyDescent="0.3">
      <c r="A235" s="8">
        <v>234</v>
      </c>
      <c r="B235" s="9">
        <v>45390</v>
      </c>
      <c r="C235" s="10" t="s">
        <v>9</v>
      </c>
      <c r="D235" s="8" t="s">
        <v>14</v>
      </c>
      <c r="E235" s="8" t="s">
        <v>21</v>
      </c>
      <c r="F235" s="8">
        <v>8</v>
      </c>
      <c r="G235" s="11">
        <v>868.6</v>
      </c>
      <c r="H235" s="12">
        <f t="shared" si="3"/>
        <v>6948.8</v>
      </c>
      <c r="I235" s="13" t="s">
        <v>12</v>
      </c>
    </row>
    <row r="236" spans="1:9" x14ac:dyDescent="0.3">
      <c r="A236" s="2">
        <v>235</v>
      </c>
      <c r="B236" s="3">
        <v>45343</v>
      </c>
      <c r="C236" s="4" t="s">
        <v>16</v>
      </c>
      <c r="D236" s="2" t="s">
        <v>10</v>
      </c>
      <c r="E236" s="2" t="s">
        <v>11</v>
      </c>
      <c r="F236" s="2">
        <v>13</v>
      </c>
      <c r="G236" s="5">
        <v>1095.79</v>
      </c>
      <c r="H236" s="6">
        <f t="shared" si="3"/>
        <v>14245.27</v>
      </c>
      <c r="I236" s="17" t="s">
        <v>25</v>
      </c>
    </row>
    <row r="237" spans="1:9" x14ac:dyDescent="0.3">
      <c r="A237" s="8">
        <v>236</v>
      </c>
      <c r="B237" s="9">
        <v>45359</v>
      </c>
      <c r="C237" s="10" t="s">
        <v>19</v>
      </c>
      <c r="D237" s="8" t="s">
        <v>14</v>
      </c>
      <c r="E237" s="8" t="s">
        <v>21</v>
      </c>
      <c r="F237" s="8">
        <v>10</v>
      </c>
      <c r="G237" s="11">
        <v>825.84</v>
      </c>
      <c r="H237" s="12">
        <f t="shared" si="3"/>
        <v>8258.4</v>
      </c>
      <c r="I237" s="15" t="s">
        <v>25</v>
      </c>
    </row>
    <row r="238" spans="1:9" x14ac:dyDescent="0.3">
      <c r="A238" s="2">
        <v>237</v>
      </c>
      <c r="B238" s="3">
        <v>45611</v>
      </c>
      <c r="C238" s="4" t="s">
        <v>19</v>
      </c>
      <c r="D238" s="2" t="s">
        <v>10</v>
      </c>
      <c r="E238" s="2" t="s">
        <v>18</v>
      </c>
      <c r="F238" s="2">
        <v>12</v>
      </c>
      <c r="G238" s="5">
        <v>544.67999999999995</v>
      </c>
      <c r="H238" s="6">
        <f t="shared" si="3"/>
        <v>6536.16</v>
      </c>
      <c r="I238" s="7" t="s">
        <v>12</v>
      </c>
    </row>
    <row r="239" spans="1:9" x14ac:dyDescent="0.3">
      <c r="A239" s="8">
        <v>238</v>
      </c>
      <c r="B239" s="9">
        <v>45413</v>
      </c>
      <c r="C239" s="10" t="s">
        <v>16</v>
      </c>
      <c r="D239" s="8" t="s">
        <v>20</v>
      </c>
      <c r="E239" s="8" t="s">
        <v>23</v>
      </c>
      <c r="F239" s="8">
        <v>12</v>
      </c>
      <c r="G239" s="11">
        <v>313.93</v>
      </c>
      <c r="H239" s="12">
        <f t="shared" si="3"/>
        <v>3767.16</v>
      </c>
      <c r="I239" s="14" t="s">
        <v>24</v>
      </c>
    </row>
    <row r="240" spans="1:9" x14ac:dyDescent="0.3">
      <c r="A240" s="2">
        <v>239</v>
      </c>
      <c r="B240" s="3">
        <v>45450</v>
      </c>
      <c r="C240" s="4" t="s">
        <v>9</v>
      </c>
      <c r="D240" s="2" t="s">
        <v>20</v>
      </c>
      <c r="E240" s="2" t="s">
        <v>23</v>
      </c>
      <c r="F240" s="2">
        <v>4</v>
      </c>
      <c r="G240" s="5">
        <v>255.3</v>
      </c>
      <c r="H240" s="6">
        <f t="shared" si="3"/>
        <v>1021.2</v>
      </c>
      <c r="I240" s="16" t="s">
        <v>24</v>
      </c>
    </row>
    <row r="241" spans="1:9" x14ac:dyDescent="0.3">
      <c r="A241" s="8">
        <v>240</v>
      </c>
      <c r="B241" s="9">
        <v>45436</v>
      </c>
      <c r="C241" s="10" t="s">
        <v>16</v>
      </c>
      <c r="D241" s="8" t="s">
        <v>17</v>
      </c>
      <c r="E241" s="8" t="s">
        <v>15</v>
      </c>
      <c r="F241" s="8">
        <v>8</v>
      </c>
      <c r="G241" s="11">
        <v>147.97999999999999</v>
      </c>
      <c r="H241" s="12">
        <f t="shared" si="3"/>
        <v>1183.8399999999999</v>
      </c>
      <c r="I241" s="14" t="s">
        <v>24</v>
      </c>
    </row>
    <row r="242" spans="1:9" x14ac:dyDescent="0.3">
      <c r="A242" s="2">
        <v>241</v>
      </c>
      <c r="B242" s="3">
        <v>45601</v>
      </c>
      <c r="C242" s="4" t="s">
        <v>22</v>
      </c>
      <c r="D242" s="2" t="s">
        <v>10</v>
      </c>
      <c r="E242" s="2" t="s">
        <v>18</v>
      </c>
      <c r="F242" s="2">
        <v>13</v>
      </c>
      <c r="G242" s="5">
        <v>1053.51</v>
      </c>
      <c r="H242" s="6">
        <f t="shared" si="3"/>
        <v>13695.63</v>
      </c>
      <c r="I242" s="7" t="s">
        <v>12</v>
      </c>
    </row>
    <row r="243" spans="1:9" x14ac:dyDescent="0.3">
      <c r="A243" s="8">
        <v>242</v>
      </c>
      <c r="B243" s="9">
        <v>45344</v>
      </c>
      <c r="C243" s="10" t="s">
        <v>13</v>
      </c>
      <c r="D243" s="8" t="s">
        <v>20</v>
      </c>
      <c r="E243" s="8" t="s">
        <v>23</v>
      </c>
      <c r="F243" s="8">
        <v>9</v>
      </c>
      <c r="G243" s="11">
        <v>543.35</v>
      </c>
      <c r="H243" s="12">
        <f t="shared" si="3"/>
        <v>4890.1500000000005</v>
      </c>
      <c r="I243" s="15" t="s">
        <v>25</v>
      </c>
    </row>
    <row r="244" spans="1:9" x14ac:dyDescent="0.3">
      <c r="A244" s="2">
        <v>243</v>
      </c>
      <c r="B244" s="3">
        <v>45522</v>
      </c>
      <c r="C244" s="4" t="s">
        <v>9</v>
      </c>
      <c r="D244" s="2" t="s">
        <v>17</v>
      </c>
      <c r="E244" s="2" t="s">
        <v>11</v>
      </c>
      <c r="F244" s="2">
        <v>5</v>
      </c>
      <c r="G244" s="5">
        <v>1563.12</v>
      </c>
      <c r="H244" s="6">
        <f t="shared" si="3"/>
        <v>7815.5999999999995</v>
      </c>
      <c r="I244" s="17" t="s">
        <v>25</v>
      </c>
    </row>
    <row r="245" spans="1:9" x14ac:dyDescent="0.3">
      <c r="A245" s="8">
        <v>244</v>
      </c>
      <c r="B245" s="9">
        <v>45522</v>
      </c>
      <c r="C245" s="10" t="s">
        <v>13</v>
      </c>
      <c r="D245" s="8" t="s">
        <v>17</v>
      </c>
      <c r="E245" s="8" t="s">
        <v>11</v>
      </c>
      <c r="F245" s="8">
        <v>4</v>
      </c>
      <c r="G245" s="11">
        <v>1746.41</v>
      </c>
      <c r="H245" s="12">
        <f t="shared" si="3"/>
        <v>6985.64</v>
      </c>
      <c r="I245" s="13" t="s">
        <v>12</v>
      </c>
    </row>
    <row r="246" spans="1:9" x14ac:dyDescent="0.3">
      <c r="A246" s="2">
        <v>245</v>
      </c>
      <c r="B246" s="3">
        <v>45412</v>
      </c>
      <c r="C246" s="4" t="s">
        <v>13</v>
      </c>
      <c r="D246" s="2" t="s">
        <v>20</v>
      </c>
      <c r="E246" s="2" t="s">
        <v>11</v>
      </c>
      <c r="F246" s="2">
        <v>6</v>
      </c>
      <c r="G246" s="5">
        <v>1196.45</v>
      </c>
      <c r="H246" s="6">
        <f t="shared" si="3"/>
        <v>7178.7000000000007</v>
      </c>
      <c r="I246" s="16" t="s">
        <v>24</v>
      </c>
    </row>
    <row r="247" spans="1:9" x14ac:dyDescent="0.3">
      <c r="A247" s="8">
        <v>246</v>
      </c>
      <c r="B247" s="9">
        <v>45342</v>
      </c>
      <c r="C247" s="10" t="s">
        <v>9</v>
      </c>
      <c r="D247" s="8" t="s">
        <v>14</v>
      </c>
      <c r="E247" s="8" t="s">
        <v>18</v>
      </c>
      <c r="F247" s="8">
        <v>15</v>
      </c>
      <c r="G247" s="11">
        <v>422.55</v>
      </c>
      <c r="H247" s="12">
        <f t="shared" si="3"/>
        <v>6338.25</v>
      </c>
      <c r="I247" s="13" t="s">
        <v>12</v>
      </c>
    </row>
    <row r="248" spans="1:9" x14ac:dyDescent="0.3">
      <c r="A248" s="2">
        <v>247</v>
      </c>
      <c r="B248" s="3">
        <v>45533</v>
      </c>
      <c r="C248" s="4" t="s">
        <v>19</v>
      </c>
      <c r="D248" s="2" t="s">
        <v>17</v>
      </c>
      <c r="E248" s="2" t="s">
        <v>11</v>
      </c>
      <c r="F248" s="2">
        <v>14</v>
      </c>
      <c r="G248" s="5">
        <v>1086.8800000000001</v>
      </c>
      <c r="H248" s="6">
        <f t="shared" si="3"/>
        <v>15216.320000000002</v>
      </c>
      <c r="I248" s="7" t="s">
        <v>12</v>
      </c>
    </row>
    <row r="249" spans="1:9" x14ac:dyDescent="0.3">
      <c r="A249" s="8">
        <v>248</v>
      </c>
      <c r="B249" s="9">
        <v>45301</v>
      </c>
      <c r="C249" s="10" t="s">
        <v>9</v>
      </c>
      <c r="D249" s="8" t="s">
        <v>14</v>
      </c>
      <c r="E249" s="8" t="s">
        <v>15</v>
      </c>
      <c r="F249" s="8">
        <v>2</v>
      </c>
      <c r="G249" s="11">
        <v>20.68</v>
      </c>
      <c r="H249" s="12">
        <f t="shared" si="3"/>
        <v>41.36</v>
      </c>
      <c r="I249" s="13" t="s">
        <v>12</v>
      </c>
    </row>
    <row r="250" spans="1:9" x14ac:dyDescent="0.3">
      <c r="A250" s="2">
        <v>249</v>
      </c>
      <c r="B250" s="3">
        <v>45562</v>
      </c>
      <c r="C250" s="4" t="s">
        <v>13</v>
      </c>
      <c r="D250" s="2" t="s">
        <v>20</v>
      </c>
      <c r="E250" s="2" t="s">
        <v>15</v>
      </c>
      <c r="F250" s="2">
        <v>10</v>
      </c>
      <c r="G250" s="5">
        <v>142.22999999999999</v>
      </c>
      <c r="H250" s="6">
        <f t="shared" si="3"/>
        <v>1422.3</v>
      </c>
      <c r="I250" s="16" t="s">
        <v>24</v>
      </c>
    </row>
    <row r="251" spans="1:9" x14ac:dyDescent="0.3">
      <c r="A251" s="8">
        <v>250</v>
      </c>
      <c r="B251" s="9">
        <v>45414</v>
      </c>
      <c r="C251" s="10" t="s">
        <v>16</v>
      </c>
      <c r="D251" s="8" t="s">
        <v>17</v>
      </c>
      <c r="E251" s="8" t="s">
        <v>18</v>
      </c>
      <c r="F251" s="8">
        <v>1</v>
      </c>
      <c r="G251" s="11">
        <v>640.91999999999996</v>
      </c>
      <c r="H251" s="12">
        <f t="shared" si="3"/>
        <v>640.91999999999996</v>
      </c>
      <c r="I251" s="14" t="s">
        <v>24</v>
      </c>
    </row>
    <row r="252" spans="1:9" x14ac:dyDescent="0.3">
      <c r="A252" s="2">
        <v>251</v>
      </c>
      <c r="B252" s="3">
        <v>45547</v>
      </c>
      <c r="C252" s="4" t="s">
        <v>16</v>
      </c>
      <c r="D252" s="2" t="s">
        <v>10</v>
      </c>
      <c r="E252" s="2" t="s">
        <v>11</v>
      </c>
      <c r="F252" s="2">
        <v>15</v>
      </c>
      <c r="G252" s="5">
        <v>910.86</v>
      </c>
      <c r="H252" s="6">
        <f t="shared" si="3"/>
        <v>13662.9</v>
      </c>
      <c r="I252" s="17" t="s">
        <v>25</v>
      </c>
    </row>
    <row r="253" spans="1:9" x14ac:dyDescent="0.3">
      <c r="A253" s="8">
        <v>252</v>
      </c>
      <c r="B253" s="9">
        <v>45365</v>
      </c>
      <c r="C253" s="10" t="s">
        <v>19</v>
      </c>
      <c r="D253" s="8" t="s">
        <v>10</v>
      </c>
      <c r="E253" s="8" t="s">
        <v>15</v>
      </c>
      <c r="F253" s="8">
        <v>12</v>
      </c>
      <c r="G253" s="11">
        <v>94.76</v>
      </c>
      <c r="H253" s="12">
        <f t="shared" si="3"/>
        <v>1137.1200000000001</v>
      </c>
      <c r="I253" s="13" t="s">
        <v>12</v>
      </c>
    </row>
    <row r="254" spans="1:9" x14ac:dyDescent="0.3">
      <c r="A254" s="2">
        <v>253</v>
      </c>
      <c r="B254" s="3">
        <v>45505</v>
      </c>
      <c r="C254" s="4" t="s">
        <v>13</v>
      </c>
      <c r="D254" s="2" t="s">
        <v>20</v>
      </c>
      <c r="E254" s="2" t="s">
        <v>15</v>
      </c>
      <c r="F254" s="2">
        <v>10</v>
      </c>
      <c r="G254" s="5">
        <v>65.87</v>
      </c>
      <c r="H254" s="6">
        <f t="shared" si="3"/>
        <v>658.7</v>
      </c>
      <c r="I254" s="7" t="s">
        <v>12</v>
      </c>
    </row>
    <row r="255" spans="1:9" x14ac:dyDescent="0.3">
      <c r="A255" s="8">
        <v>254</v>
      </c>
      <c r="B255" s="9">
        <v>45551</v>
      </c>
      <c r="C255" s="10" t="s">
        <v>16</v>
      </c>
      <c r="D255" s="8" t="s">
        <v>10</v>
      </c>
      <c r="E255" s="8" t="s">
        <v>11</v>
      </c>
      <c r="F255" s="8">
        <v>9</v>
      </c>
      <c r="G255" s="11">
        <v>1753.4</v>
      </c>
      <c r="H255" s="12">
        <f t="shared" si="3"/>
        <v>15780.6</v>
      </c>
      <c r="I255" s="15" t="s">
        <v>25</v>
      </c>
    </row>
    <row r="256" spans="1:9" x14ac:dyDescent="0.3">
      <c r="A256" s="2">
        <v>255</v>
      </c>
      <c r="B256" s="3">
        <v>45617</v>
      </c>
      <c r="C256" s="4" t="s">
        <v>22</v>
      </c>
      <c r="D256" s="2" t="s">
        <v>20</v>
      </c>
      <c r="E256" s="2" t="s">
        <v>23</v>
      </c>
      <c r="F256" s="2">
        <v>1</v>
      </c>
      <c r="G256" s="5">
        <v>543</v>
      </c>
      <c r="H256" s="6">
        <f t="shared" si="3"/>
        <v>543</v>
      </c>
      <c r="I256" s="16" t="s">
        <v>24</v>
      </c>
    </row>
    <row r="257" spans="1:9" x14ac:dyDescent="0.3">
      <c r="A257" s="8">
        <v>256</v>
      </c>
      <c r="B257" s="9">
        <v>45468</v>
      </c>
      <c r="C257" s="10" t="s">
        <v>13</v>
      </c>
      <c r="D257" s="8" t="s">
        <v>20</v>
      </c>
      <c r="E257" s="8" t="s">
        <v>11</v>
      </c>
      <c r="F257" s="8">
        <v>2</v>
      </c>
      <c r="G257" s="11">
        <v>1157.0899999999999</v>
      </c>
      <c r="H257" s="12">
        <f t="shared" si="3"/>
        <v>2314.1799999999998</v>
      </c>
      <c r="I257" s="13" t="s">
        <v>12</v>
      </c>
    </row>
    <row r="258" spans="1:9" x14ac:dyDescent="0.3">
      <c r="A258" s="2">
        <v>257</v>
      </c>
      <c r="B258" s="3">
        <v>45465</v>
      </c>
      <c r="C258" s="4" t="s">
        <v>19</v>
      </c>
      <c r="D258" s="2" t="s">
        <v>17</v>
      </c>
      <c r="E258" s="2" t="s">
        <v>18</v>
      </c>
      <c r="F258" s="2">
        <v>9</v>
      </c>
      <c r="G258" s="5">
        <v>435.47</v>
      </c>
      <c r="H258" s="6">
        <f t="shared" ref="H258:H301" si="4">F258*G258</f>
        <v>3919.2300000000005</v>
      </c>
      <c r="I258" s="7" t="s">
        <v>12</v>
      </c>
    </row>
    <row r="259" spans="1:9" x14ac:dyDescent="0.3">
      <c r="A259" s="8">
        <v>258</v>
      </c>
      <c r="B259" s="9">
        <v>45526</v>
      </c>
      <c r="C259" s="10" t="s">
        <v>22</v>
      </c>
      <c r="D259" s="8" t="s">
        <v>14</v>
      </c>
      <c r="E259" s="8" t="s">
        <v>18</v>
      </c>
      <c r="F259" s="8">
        <v>2</v>
      </c>
      <c r="G259" s="11">
        <v>1049.2</v>
      </c>
      <c r="H259" s="12">
        <f t="shared" si="4"/>
        <v>2098.4</v>
      </c>
      <c r="I259" s="13" t="s">
        <v>12</v>
      </c>
    </row>
    <row r="260" spans="1:9" x14ac:dyDescent="0.3">
      <c r="A260" s="2">
        <v>259</v>
      </c>
      <c r="B260" s="3">
        <v>45313</v>
      </c>
      <c r="C260" s="4" t="s">
        <v>22</v>
      </c>
      <c r="D260" s="2" t="s">
        <v>17</v>
      </c>
      <c r="E260" s="2" t="s">
        <v>11</v>
      </c>
      <c r="F260" s="2">
        <v>15</v>
      </c>
      <c r="G260" s="5">
        <v>1591.11</v>
      </c>
      <c r="H260" s="6">
        <f t="shared" si="4"/>
        <v>23866.649999999998</v>
      </c>
      <c r="I260" s="7" t="s">
        <v>12</v>
      </c>
    </row>
    <row r="261" spans="1:9" x14ac:dyDescent="0.3">
      <c r="A261" s="8">
        <v>260</v>
      </c>
      <c r="B261" s="9">
        <v>45623</v>
      </c>
      <c r="C261" s="10" t="s">
        <v>22</v>
      </c>
      <c r="D261" s="8" t="s">
        <v>20</v>
      </c>
      <c r="E261" s="8" t="s">
        <v>15</v>
      </c>
      <c r="F261" s="8">
        <v>1</v>
      </c>
      <c r="G261" s="11">
        <v>81.540000000000006</v>
      </c>
      <c r="H261" s="12">
        <f t="shared" si="4"/>
        <v>81.540000000000006</v>
      </c>
      <c r="I261" s="13" t="s">
        <v>12</v>
      </c>
    </row>
    <row r="262" spans="1:9" x14ac:dyDescent="0.3">
      <c r="A262" s="2">
        <v>261</v>
      </c>
      <c r="B262" s="3">
        <v>45431</v>
      </c>
      <c r="C262" s="4" t="s">
        <v>22</v>
      </c>
      <c r="D262" s="2" t="s">
        <v>17</v>
      </c>
      <c r="E262" s="2" t="s">
        <v>11</v>
      </c>
      <c r="F262" s="2">
        <v>6</v>
      </c>
      <c r="G262" s="5">
        <v>1665.8</v>
      </c>
      <c r="H262" s="6">
        <f t="shared" si="4"/>
        <v>9994.7999999999993</v>
      </c>
      <c r="I262" s="7" t="s">
        <v>12</v>
      </c>
    </row>
    <row r="263" spans="1:9" x14ac:dyDescent="0.3">
      <c r="A263" s="8">
        <v>262</v>
      </c>
      <c r="B263" s="9">
        <v>45489</v>
      </c>
      <c r="C263" s="10" t="s">
        <v>9</v>
      </c>
      <c r="D263" s="8" t="s">
        <v>17</v>
      </c>
      <c r="E263" s="8" t="s">
        <v>23</v>
      </c>
      <c r="F263" s="8">
        <v>15</v>
      </c>
      <c r="G263" s="11">
        <v>484.49</v>
      </c>
      <c r="H263" s="12">
        <f t="shared" si="4"/>
        <v>7267.35</v>
      </c>
      <c r="I263" s="13" t="s">
        <v>12</v>
      </c>
    </row>
    <row r="264" spans="1:9" x14ac:dyDescent="0.3">
      <c r="A264" s="2">
        <v>263</v>
      </c>
      <c r="B264" s="3">
        <v>45557</v>
      </c>
      <c r="C264" s="4" t="s">
        <v>13</v>
      </c>
      <c r="D264" s="2" t="s">
        <v>17</v>
      </c>
      <c r="E264" s="2" t="s">
        <v>23</v>
      </c>
      <c r="F264" s="2">
        <v>13</v>
      </c>
      <c r="G264" s="5">
        <v>315.31</v>
      </c>
      <c r="H264" s="6">
        <f t="shared" si="4"/>
        <v>4099.03</v>
      </c>
      <c r="I264" s="7" t="s">
        <v>12</v>
      </c>
    </row>
    <row r="265" spans="1:9" x14ac:dyDescent="0.3">
      <c r="A265" s="8">
        <v>264</v>
      </c>
      <c r="B265" s="9">
        <v>45384</v>
      </c>
      <c r="C265" s="10" t="s">
        <v>22</v>
      </c>
      <c r="D265" s="8" t="s">
        <v>20</v>
      </c>
      <c r="E265" s="8" t="s">
        <v>11</v>
      </c>
      <c r="F265" s="8">
        <v>14</v>
      </c>
      <c r="G265" s="11">
        <v>1230.6099999999999</v>
      </c>
      <c r="H265" s="12">
        <f t="shared" si="4"/>
        <v>17228.539999999997</v>
      </c>
      <c r="I265" s="15" t="s">
        <v>25</v>
      </c>
    </row>
    <row r="266" spans="1:9" x14ac:dyDescent="0.3">
      <c r="A266" s="2">
        <v>265</v>
      </c>
      <c r="B266" s="3">
        <v>45443</v>
      </c>
      <c r="C266" s="4" t="s">
        <v>19</v>
      </c>
      <c r="D266" s="2" t="s">
        <v>17</v>
      </c>
      <c r="E266" s="2" t="s">
        <v>11</v>
      </c>
      <c r="F266" s="2">
        <v>11</v>
      </c>
      <c r="G266" s="5">
        <v>880.07</v>
      </c>
      <c r="H266" s="6">
        <f t="shared" si="4"/>
        <v>9680.77</v>
      </c>
      <c r="I266" s="7" t="s">
        <v>12</v>
      </c>
    </row>
    <row r="267" spans="1:9" x14ac:dyDescent="0.3">
      <c r="A267" s="8">
        <v>266</v>
      </c>
      <c r="B267" s="9">
        <v>45520</v>
      </c>
      <c r="C267" s="10" t="s">
        <v>22</v>
      </c>
      <c r="D267" s="8" t="s">
        <v>17</v>
      </c>
      <c r="E267" s="8" t="s">
        <v>18</v>
      </c>
      <c r="F267" s="8">
        <v>6</v>
      </c>
      <c r="G267" s="11">
        <v>951.81</v>
      </c>
      <c r="H267" s="12">
        <f t="shared" si="4"/>
        <v>5710.86</v>
      </c>
      <c r="I267" s="13" t="s">
        <v>12</v>
      </c>
    </row>
    <row r="268" spans="1:9" x14ac:dyDescent="0.3">
      <c r="A268" s="2">
        <v>267</v>
      </c>
      <c r="B268" s="3">
        <v>45321</v>
      </c>
      <c r="C268" s="4" t="s">
        <v>19</v>
      </c>
      <c r="D268" s="2" t="s">
        <v>20</v>
      </c>
      <c r="E268" s="2" t="s">
        <v>21</v>
      </c>
      <c r="F268" s="2">
        <v>13</v>
      </c>
      <c r="G268" s="5">
        <v>683.68</v>
      </c>
      <c r="H268" s="6">
        <f t="shared" si="4"/>
        <v>8887.84</v>
      </c>
      <c r="I268" s="7" t="s">
        <v>12</v>
      </c>
    </row>
    <row r="269" spans="1:9" x14ac:dyDescent="0.3">
      <c r="A269" s="8">
        <v>268</v>
      </c>
      <c r="B269" s="9">
        <v>45373</v>
      </c>
      <c r="C269" s="10" t="s">
        <v>9</v>
      </c>
      <c r="D269" s="8" t="s">
        <v>17</v>
      </c>
      <c r="E269" s="8" t="s">
        <v>15</v>
      </c>
      <c r="F269" s="8">
        <v>11</v>
      </c>
      <c r="G269" s="11">
        <v>124.14</v>
      </c>
      <c r="H269" s="12">
        <f t="shared" si="4"/>
        <v>1365.54</v>
      </c>
      <c r="I269" s="13" t="s">
        <v>12</v>
      </c>
    </row>
    <row r="270" spans="1:9" x14ac:dyDescent="0.3">
      <c r="A270" s="2">
        <v>269</v>
      </c>
      <c r="B270" s="3">
        <v>45622</v>
      </c>
      <c r="C270" s="4" t="s">
        <v>22</v>
      </c>
      <c r="D270" s="2" t="s">
        <v>17</v>
      </c>
      <c r="E270" s="2" t="s">
        <v>11</v>
      </c>
      <c r="F270" s="2">
        <v>4</v>
      </c>
      <c r="G270" s="5">
        <v>926.23</v>
      </c>
      <c r="H270" s="6">
        <f t="shared" si="4"/>
        <v>3704.92</v>
      </c>
      <c r="I270" s="7" t="s">
        <v>12</v>
      </c>
    </row>
    <row r="271" spans="1:9" x14ac:dyDescent="0.3">
      <c r="A271" s="8">
        <v>270</v>
      </c>
      <c r="B271" s="9">
        <v>45639</v>
      </c>
      <c r="C271" s="10" t="s">
        <v>22</v>
      </c>
      <c r="D271" s="8" t="s">
        <v>20</v>
      </c>
      <c r="E271" s="8" t="s">
        <v>15</v>
      </c>
      <c r="F271" s="8">
        <v>3</v>
      </c>
      <c r="G271" s="11">
        <v>24.21</v>
      </c>
      <c r="H271" s="12">
        <f t="shared" si="4"/>
        <v>72.63</v>
      </c>
      <c r="I271" s="14" t="s">
        <v>24</v>
      </c>
    </row>
    <row r="272" spans="1:9" x14ac:dyDescent="0.3">
      <c r="A272" s="2">
        <v>271</v>
      </c>
      <c r="B272" s="3">
        <v>45362</v>
      </c>
      <c r="C272" s="4" t="s">
        <v>22</v>
      </c>
      <c r="D272" s="2" t="s">
        <v>17</v>
      </c>
      <c r="E272" s="2" t="s">
        <v>23</v>
      </c>
      <c r="F272" s="2">
        <v>10</v>
      </c>
      <c r="G272" s="5">
        <v>493.39</v>
      </c>
      <c r="H272" s="6">
        <f t="shared" si="4"/>
        <v>4933.8999999999996</v>
      </c>
      <c r="I272" s="17" t="s">
        <v>25</v>
      </c>
    </row>
    <row r="273" spans="1:9" x14ac:dyDescent="0.3">
      <c r="A273" s="8">
        <v>272</v>
      </c>
      <c r="B273" s="9">
        <v>45350</v>
      </c>
      <c r="C273" s="10" t="s">
        <v>9</v>
      </c>
      <c r="D273" s="8" t="s">
        <v>17</v>
      </c>
      <c r="E273" s="8" t="s">
        <v>21</v>
      </c>
      <c r="F273" s="8">
        <v>4</v>
      </c>
      <c r="G273" s="11">
        <v>689.74</v>
      </c>
      <c r="H273" s="12">
        <f t="shared" si="4"/>
        <v>2758.96</v>
      </c>
      <c r="I273" s="13" t="s">
        <v>12</v>
      </c>
    </row>
    <row r="274" spans="1:9" x14ac:dyDescent="0.3">
      <c r="A274" s="2">
        <v>273</v>
      </c>
      <c r="B274" s="3">
        <v>45352</v>
      </c>
      <c r="C274" s="4" t="s">
        <v>22</v>
      </c>
      <c r="D274" s="2" t="s">
        <v>17</v>
      </c>
      <c r="E274" s="2" t="s">
        <v>15</v>
      </c>
      <c r="F274" s="2">
        <v>9</v>
      </c>
      <c r="G274" s="5">
        <v>70.31</v>
      </c>
      <c r="H274" s="6">
        <f t="shared" si="4"/>
        <v>632.79</v>
      </c>
      <c r="I274" s="7" t="s">
        <v>12</v>
      </c>
    </row>
    <row r="275" spans="1:9" x14ac:dyDescent="0.3">
      <c r="A275" s="8">
        <v>274</v>
      </c>
      <c r="B275" s="9">
        <v>45647</v>
      </c>
      <c r="C275" s="10" t="s">
        <v>9</v>
      </c>
      <c r="D275" s="8" t="s">
        <v>10</v>
      </c>
      <c r="E275" s="8" t="s">
        <v>18</v>
      </c>
      <c r="F275" s="8">
        <v>5</v>
      </c>
      <c r="G275" s="11">
        <v>1197.0899999999999</v>
      </c>
      <c r="H275" s="12">
        <f t="shared" si="4"/>
        <v>5985.45</v>
      </c>
      <c r="I275" s="14" t="s">
        <v>24</v>
      </c>
    </row>
    <row r="276" spans="1:9" x14ac:dyDescent="0.3">
      <c r="A276" s="2">
        <v>275</v>
      </c>
      <c r="B276" s="3">
        <v>45380</v>
      </c>
      <c r="C276" s="4" t="s">
        <v>13</v>
      </c>
      <c r="D276" s="2" t="s">
        <v>20</v>
      </c>
      <c r="E276" s="2" t="s">
        <v>18</v>
      </c>
      <c r="F276" s="2">
        <v>8</v>
      </c>
      <c r="G276" s="5">
        <v>1082.26</v>
      </c>
      <c r="H276" s="6">
        <f t="shared" si="4"/>
        <v>8658.08</v>
      </c>
      <c r="I276" s="16" t="s">
        <v>24</v>
      </c>
    </row>
    <row r="277" spans="1:9" x14ac:dyDescent="0.3">
      <c r="A277" s="8">
        <v>276</v>
      </c>
      <c r="B277" s="9">
        <v>45569</v>
      </c>
      <c r="C277" s="10" t="s">
        <v>22</v>
      </c>
      <c r="D277" s="8" t="s">
        <v>14</v>
      </c>
      <c r="E277" s="8" t="s">
        <v>21</v>
      </c>
      <c r="F277" s="8">
        <v>9</v>
      </c>
      <c r="G277" s="11">
        <v>725.72</v>
      </c>
      <c r="H277" s="12">
        <f t="shared" si="4"/>
        <v>6531.4800000000005</v>
      </c>
      <c r="I277" s="13" t="s">
        <v>12</v>
      </c>
    </row>
    <row r="278" spans="1:9" x14ac:dyDescent="0.3">
      <c r="A278" s="2">
        <v>277</v>
      </c>
      <c r="B278" s="3">
        <v>45406</v>
      </c>
      <c r="C278" s="4" t="s">
        <v>9</v>
      </c>
      <c r="D278" s="2" t="s">
        <v>14</v>
      </c>
      <c r="E278" s="2" t="s">
        <v>18</v>
      </c>
      <c r="F278" s="2">
        <v>9</v>
      </c>
      <c r="G278" s="5">
        <v>1034.96</v>
      </c>
      <c r="H278" s="6">
        <f t="shared" si="4"/>
        <v>9314.64</v>
      </c>
      <c r="I278" s="7" t="s">
        <v>12</v>
      </c>
    </row>
    <row r="279" spans="1:9" x14ac:dyDescent="0.3">
      <c r="A279" s="8">
        <v>278</v>
      </c>
      <c r="B279" s="9">
        <v>45476</v>
      </c>
      <c r="C279" s="10" t="s">
        <v>16</v>
      </c>
      <c r="D279" s="8" t="s">
        <v>20</v>
      </c>
      <c r="E279" s="8" t="s">
        <v>18</v>
      </c>
      <c r="F279" s="8">
        <v>1</v>
      </c>
      <c r="G279" s="11">
        <v>1032.3</v>
      </c>
      <c r="H279" s="12">
        <f t="shared" si="4"/>
        <v>1032.3</v>
      </c>
      <c r="I279" s="15" t="s">
        <v>25</v>
      </c>
    </row>
    <row r="280" spans="1:9" x14ac:dyDescent="0.3">
      <c r="A280" s="2">
        <v>279</v>
      </c>
      <c r="B280" s="3">
        <v>45358</v>
      </c>
      <c r="C280" s="4" t="s">
        <v>13</v>
      </c>
      <c r="D280" s="2" t="s">
        <v>10</v>
      </c>
      <c r="E280" s="2" t="s">
        <v>23</v>
      </c>
      <c r="F280" s="2">
        <v>9</v>
      </c>
      <c r="G280" s="5">
        <v>511.65</v>
      </c>
      <c r="H280" s="6">
        <f t="shared" si="4"/>
        <v>4604.8499999999995</v>
      </c>
      <c r="I280" s="17" t="s">
        <v>25</v>
      </c>
    </row>
    <row r="281" spans="1:9" x14ac:dyDescent="0.3">
      <c r="A281" s="8">
        <v>280</v>
      </c>
      <c r="B281" s="9">
        <v>45537</v>
      </c>
      <c r="C281" s="10" t="s">
        <v>19</v>
      </c>
      <c r="D281" s="8" t="s">
        <v>17</v>
      </c>
      <c r="E281" s="8" t="s">
        <v>21</v>
      </c>
      <c r="F281" s="8">
        <v>12</v>
      </c>
      <c r="G281" s="11">
        <v>538.9</v>
      </c>
      <c r="H281" s="12">
        <f t="shared" si="4"/>
        <v>6466.7999999999993</v>
      </c>
      <c r="I281" s="15" t="s">
        <v>25</v>
      </c>
    </row>
    <row r="282" spans="1:9" x14ac:dyDescent="0.3">
      <c r="A282" s="2">
        <v>281</v>
      </c>
      <c r="B282" s="3">
        <v>45620</v>
      </c>
      <c r="C282" s="4" t="s">
        <v>19</v>
      </c>
      <c r="D282" s="2" t="s">
        <v>17</v>
      </c>
      <c r="E282" s="2" t="s">
        <v>15</v>
      </c>
      <c r="F282" s="2">
        <v>6</v>
      </c>
      <c r="G282" s="5">
        <v>29.59</v>
      </c>
      <c r="H282" s="6">
        <f t="shared" si="4"/>
        <v>177.54</v>
      </c>
      <c r="I282" s="7" t="s">
        <v>12</v>
      </c>
    </row>
    <row r="283" spans="1:9" x14ac:dyDescent="0.3">
      <c r="A283" s="8">
        <v>282</v>
      </c>
      <c r="B283" s="9">
        <v>45574</v>
      </c>
      <c r="C283" s="10" t="s">
        <v>9</v>
      </c>
      <c r="D283" s="8" t="s">
        <v>14</v>
      </c>
      <c r="E283" s="8" t="s">
        <v>15</v>
      </c>
      <c r="F283" s="8">
        <v>15</v>
      </c>
      <c r="G283" s="11">
        <v>64.790000000000006</v>
      </c>
      <c r="H283" s="12">
        <f t="shared" si="4"/>
        <v>971.85000000000014</v>
      </c>
      <c r="I283" s="15" t="s">
        <v>25</v>
      </c>
    </row>
    <row r="284" spans="1:9" x14ac:dyDescent="0.3">
      <c r="A284" s="2">
        <v>283</v>
      </c>
      <c r="B284" s="3">
        <v>45320</v>
      </c>
      <c r="C284" s="4" t="s">
        <v>16</v>
      </c>
      <c r="D284" s="2" t="s">
        <v>14</v>
      </c>
      <c r="E284" s="2" t="s">
        <v>23</v>
      </c>
      <c r="F284" s="2">
        <v>14</v>
      </c>
      <c r="G284" s="5">
        <v>376.29</v>
      </c>
      <c r="H284" s="6">
        <f t="shared" si="4"/>
        <v>5268.06</v>
      </c>
      <c r="I284" s="7" t="s">
        <v>12</v>
      </c>
    </row>
    <row r="285" spans="1:9" x14ac:dyDescent="0.3">
      <c r="A285" s="8">
        <v>284</v>
      </c>
      <c r="B285" s="9">
        <v>45655</v>
      </c>
      <c r="C285" s="10" t="s">
        <v>22</v>
      </c>
      <c r="D285" s="8" t="s">
        <v>20</v>
      </c>
      <c r="E285" s="8" t="s">
        <v>21</v>
      </c>
      <c r="F285" s="8">
        <v>6</v>
      </c>
      <c r="G285" s="11">
        <v>398.79</v>
      </c>
      <c r="H285" s="12">
        <f t="shared" si="4"/>
        <v>2392.7400000000002</v>
      </c>
      <c r="I285" s="13" t="s">
        <v>12</v>
      </c>
    </row>
    <row r="286" spans="1:9" x14ac:dyDescent="0.3">
      <c r="A286" s="2">
        <v>285</v>
      </c>
      <c r="B286" s="3">
        <v>45574</v>
      </c>
      <c r="C286" s="4" t="s">
        <v>9</v>
      </c>
      <c r="D286" s="2" t="s">
        <v>20</v>
      </c>
      <c r="E286" s="2" t="s">
        <v>11</v>
      </c>
      <c r="F286" s="2">
        <v>11</v>
      </c>
      <c r="G286" s="5">
        <v>1050.6099999999999</v>
      </c>
      <c r="H286" s="6">
        <f t="shared" si="4"/>
        <v>11556.71</v>
      </c>
      <c r="I286" s="7" t="s">
        <v>12</v>
      </c>
    </row>
    <row r="287" spans="1:9" x14ac:dyDescent="0.3">
      <c r="A287" s="8">
        <v>286</v>
      </c>
      <c r="B287" s="9">
        <v>45620</v>
      </c>
      <c r="C287" s="10" t="s">
        <v>16</v>
      </c>
      <c r="D287" s="8" t="s">
        <v>14</v>
      </c>
      <c r="E287" s="8" t="s">
        <v>15</v>
      </c>
      <c r="F287" s="8">
        <v>9</v>
      </c>
      <c r="G287" s="11">
        <v>89.35</v>
      </c>
      <c r="H287" s="12">
        <f t="shared" si="4"/>
        <v>804.15</v>
      </c>
      <c r="I287" s="13" t="s">
        <v>12</v>
      </c>
    </row>
    <row r="288" spans="1:9" x14ac:dyDescent="0.3">
      <c r="A288" s="2">
        <v>287</v>
      </c>
      <c r="B288" s="3">
        <v>45601</v>
      </c>
      <c r="C288" s="4" t="s">
        <v>16</v>
      </c>
      <c r="D288" s="2" t="s">
        <v>10</v>
      </c>
      <c r="E288" s="2" t="s">
        <v>18</v>
      </c>
      <c r="F288" s="2">
        <v>12</v>
      </c>
      <c r="G288" s="5">
        <v>926.99</v>
      </c>
      <c r="H288" s="6">
        <f t="shared" si="4"/>
        <v>11123.880000000001</v>
      </c>
      <c r="I288" s="7" t="s">
        <v>12</v>
      </c>
    </row>
    <row r="289" spans="1:9" x14ac:dyDescent="0.3">
      <c r="A289" s="8">
        <v>288</v>
      </c>
      <c r="B289" s="9">
        <v>45587</v>
      </c>
      <c r="C289" s="10" t="s">
        <v>9</v>
      </c>
      <c r="D289" s="8" t="s">
        <v>17</v>
      </c>
      <c r="E289" s="8" t="s">
        <v>11</v>
      </c>
      <c r="F289" s="8">
        <v>11</v>
      </c>
      <c r="G289" s="11">
        <v>881.22</v>
      </c>
      <c r="H289" s="12">
        <f t="shared" si="4"/>
        <v>9693.42</v>
      </c>
      <c r="I289" s="13" t="s">
        <v>12</v>
      </c>
    </row>
    <row r="290" spans="1:9" x14ac:dyDescent="0.3">
      <c r="A290" s="2">
        <v>289</v>
      </c>
      <c r="B290" s="3">
        <v>45613</v>
      </c>
      <c r="C290" s="4" t="s">
        <v>22</v>
      </c>
      <c r="D290" s="2" t="s">
        <v>20</v>
      </c>
      <c r="E290" s="2" t="s">
        <v>15</v>
      </c>
      <c r="F290" s="2">
        <v>8</v>
      </c>
      <c r="G290" s="5">
        <v>103.07</v>
      </c>
      <c r="H290" s="6">
        <f t="shared" si="4"/>
        <v>824.56</v>
      </c>
      <c r="I290" s="17" t="s">
        <v>25</v>
      </c>
    </row>
    <row r="291" spans="1:9" x14ac:dyDescent="0.3">
      <c r="A291" s="8">
        <v>290</v>
      </c>
      <c r="B291" s="9">
        <v>45642</v>
      </c>
      <c r="C291" s="10" t="s">
        <v>22</v>
      </c>
      <c r="D291" s="8" t="s">
        <v>17</v>
      </c>
      <c r="E291" s="8" t="s">
        <v>23</v>
      </c>
      <c r="F291" s="8">
        <v>13</v>
      </c>
      <c r="G291" s="11">
        <v>260.2</v>
      </c>
      <c r="H291" s="12">
        <f t="shared" si="4"/>
        <v>3382.6</v>
      </c>
      <c r="I291" s="14" t="s">
        <v>24</v>
      </c>
    </row>
    <row r="292" spans="1:9" x14ac:dyDescent="0.3">
      <c r="A292" s="2">
        <v>291</v>
      </c>
      <c r="B292" s="3">
        <v>45517</v>
      </c>
      <c r="C292" s="4" t="s">
        <v>19</v>
      </c>
      <c r="D292" s="2" t="s">
        <v>17</v>
      </c>
      <c r="E292" s="2" t="s">
        <v>11</v>
      </c>
      <c r="F292" s="2">
        <v>3</v>
      </c>
      <c r="G292" s="5">
        <v>1488.61</v>
      </c>
      <c r="H292" s="6">
        <f t="shared" si="4"/>
        <v>4465.83</v>
      </c>
      <c r="I292" s="16" t="s">
        <v>24</v>
      </c>
    </row>
    <row r="293" spans="1:9" x14ac:dyDescent="0.3">
      <c r="A293" s="8">
        <v>292</v>
      </c>
      <c r="B293" s="9">
        <v>45452</v>
      </c>
      <c r="C293" s="10" t="s">
        <v>22</v>
      </c>
      <c r="D293" s="8" t="s">
        <v>17</v>
      </c>
      <c r="E293" s="8" t="s">
        <v>18</v>
      </c>
      <c r="F293" s="8">
        <v>3</v>
      </c>
      <c r="G293" s="11">
        <v>672.15</v>
      </c>
      <c r="H293" s="12">
        <f t="shared" si="4"/>
        <v>2016.4499999999998</v>
      </c>
      <c r="I293" s="13" t="s">
        <v>12</v>
      </c>
    </row>
    <row r="294" spans="1:9" x14ac:dyDescent="0.3">
      <c r="A294" s="2">
        <v>293</v>
      </c>
      <c r="B294" s="3">
        <v>45579</v>
      </c>
      <c r="C294" s="4" t="s">
        <v>22</v>
      </c>
      <c r="D294" s="2" t="s">
        <v>14</v>
      </c>
      <c r="E294" s="2" t="s">
        <v>18</v>
      </c>
      <c r="F294" s="2">
        <v>9</v>
      </c>
      <c r="G294" s="5">
        <v>1008.53</v>
      </c>
      <c r="H294" s="6">
        <f t="shared" si="4"/>
        <v>9076.77</v>
      </c>
      <c r="I294" s="7" t="s">
        <v>12</v>
      </c>
    </row>
    <row r="295" spans="1:9" x14ac:dyDescent="0.3">
      <c r="A295" s="8">
        <v>294</v>
      </c>
      <c r="B295" s="9">
        <v>45418</v>
      </c>
      <c r="C295" s="10" t="s">
        <v>13</v>
      </c>
      <c r="D295" s="8" t="s">
        <v>10</v>
      </c>
      <c r="E295" s="8" t="s">
        <v>23</v>
      </c>
      <c r="F295" s="8">
        <v>8</v>
      </c>
      <c r="G295" s="11">
        <v>205.13</v>
      </c>
      <c r="H295" s="12">
        <f t="shared" si="4"/>
        <v>1641.04</v>
      </c>
      <c r="I295" s="13" t="s">
        <v>12</v>
      </c>
    </row>
    <row r="296" spans="1:9" x14ac:dyDescent="0.3">
      <c r="A296" s="2">
        <v>295</v>
      </c>
      <c r="B296" s="3">
        <v>45607</v>
      </c>
      <c r="C296" s="4" t="s">
        <v>9</v>
      </c>
      <c r="D296" s="2" t="s">
        <v>14</v>
      </c>
      <c r="E296" s="2" t="s">
        <v>21</v>
      </c>
      <c r="F296" s="2">
        <v>14</v>
      </c>
      <c r="G296" s="5">
        <v>867.23</v>
      </c>
      <c r="H296" s="6">
        <f t="shared" si="4"/>
        <v>12141.220000000001</v>
      </c>
      <c r="I296" s="16" t="s">
        <v>24</v>
      </c>
    </row>
    <row r="297" spans="1:9" x14ac:dyDescent="0.3">
      <c r="A297" s="8">
        <v>296</v>
      </c>
      <c r="B297" s="9">
        <v>45452</v>
      </c>
      <c r="C297" s="10" t="s">
        <v>9</v>
      </c>
      <c r="D297" s="8" t="s">
        <v>17</v>
      </c>
      <c r="E297" s="8" t="s">
        <v>21</v>
      </c>
      <c r="F297" s="8">
        <v>12</v>
      </c>
      <c r="G297" s="11">
        <v>860.25</v>
      </c>
      <c r="H297" s="12">
        <f t="shared" si="4"/>
        <v>10323</v>
      </c>
      <c r="I297" s="13" t="s">
        <v>12</v>
      </c>
    </row>
    <row r="298" spans="1:9" x14ac:dyDescent="0.3">
      <c r="A298" s="2">
        <v>297</v>
      </c>
      <c r="B298" s="3">
        <v>45449</v>
      </c>
      <c r="C298" s="4" t="s">
        <v>13</v>
      </c>
      <c r="D298" s="2" t="s">
        <v>10</v>
      </c>
      <c r="E298" s="2" t="s">
        <v>15</v>
      </c>
      <c r="F298" s="2">
        <v>15</v>
      </c>
      <c r="G298" s="5">
        <v>80.69</v>
      </c>
      <c r="H298" s="6">
        <f t="shared" si="4"/>
        <v>1210.3499999999999</v>
      </c>
      <c r="I298" s="16" t="s">
        <v>24</v>
      </c>
    </row>
    <row r="299" spans="1:9" x14ac:dyDescent="0.3">
      <c r="A299" s="8">
        <v>298</v>
      </c>
      <c r="B299" s="9">
        <v>45402</v>
      </c>
      <c r="C299" s="10" t="s">
        <v>22</v>
      </c>
      <c r="D299" s="8" t="s">
        <v>10</v>
      </c>
      <c r="E299" s="8" t="s">
        <v>23</v>
      </c>
      <c r="F299" s="8">
        <v>4</v>
      </c>
      <c r="G299" s="11">
        <v>377.45</v>
      </c>
      <c r="H299" s="12">
        <f t="shared" si="4"/>
        <v>1509.8</v>
      </c>
      <c r="I299" s="15" t="s">
        <v>25</v>
      </c>
    </row>
    <row r="300" spans="1:9" x14ac:dyDescent="0.3">
      <c r="A300" s="2">
        <v>299</v>
      </c>
      <c r="B300" s="3">
        <v>45626</v>
      </c>
      <c r="C300" s="4" t="s">
        <v>22</v>
      </c>
      <c r="D300" s="2" t="s">
        <v>10</v>
      </c>
      <c r="E300" s="2" t="s">
        <v>11</v>
      </c>
      <c r="F300" s="2">
        <v>10</v>
      </c>
      <c r="G300" s="5">
        <v>1081.3599999999999</v>
      </c>
      <c r="H300" s="6">
        <f t="shared" si="4"/>
        <v>10813.599999999999</v>
      </c>
      <c r="I300" s="16" t="s">
        <v>24</v>
      </c>
    </row>
    <row r="301" spans="1:9" x14ac:dyDescent="0.3">
      <c r="A301" s="8">
        <v>300</v>
      </c>
      <c r="B301" s="9">
        <v>45427</v>
      </c>
      <c r="C301" s="10" t="s">
        <v>19</v>
      </c>
      <c r="D301" s="8" t="s">
        <v>20</v>
      </c>
      <c r="E301" s="8" t="s">
        <v>11</v>
      </c>
      <c r="F301" s="8">
        <v>15</v>
      </c>
      <c r="G301" s="11">
        <v>1230.93</v>
      </c>
      <c r="H301" s="12">
        <f t="shared" si="4"/>
        <v>18463.95</v>
      </c>
      <c r="I301" s="13" t="s">
        <v>12</v>
      </c>
    </row>
  </sheetData>
  <autoFilter ref="A1:I30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77E3-8234-47E5-B8B1-FF1E1BD22FFB}">
  <sheetPr codeName="Feuil3"/>
  <dimension ref="A1:K23"/>
  <sheetViews>
    <sheetView workbookViewId="0"/>
  </sheetViews>
  <sheetFormatPr baseColWidth="10" defaultRowHeight="14.4" x14ac:dyDescent="0.3"/>
  <sheetData>
    <row r="1" spans="1:11" x14ac:dyDescent="0.3">
      <c r="A1" t="s">
        <v>36</v>
      </c>
      <c r="D1" t="s">
        <v>58</v>
      </c>
      <c r="G1" t="s">
        <v>40</v>
      </c>
      <c r="J1" t="s">
        <v>59</v>
      </c>
    </row>
    <row r="2" spans="1:11" x14ac:dyDescent="0.3">
      <c r="A2" t="s">
        <v>54</v>
      </c>
      <c r="B2">
        <f>SUMIF(Données!I:I,"Payé",Données!H:H)</f>
        <v>894449.44000000006</v>
      </c>
      <c r="D2" t="s">
        <v>10</v>
      </c>
      <c r="E2">
        <f>SUMPRODUCT((Données!D$2:'Données'!D$301="Paris")*(Données!I$2:'Données'!I$301="Payé")*(Données!H$2:'Données'!H$301))</f>
        <v>179103.39</v>
      </c>
      <c r="G2" t="s">
        <v>13</v>
      </c>
      <c r="H2">
        <f>SUMPRODUCT((Données!C$2:'Données'!C$301="Alice Martin")*(Données!I$2:'Données'!I$301="Payé")*(Données!H$2:'Données'!H$301))</f>
        <v>125096.07999999996</v>
      </c>
      <c r="J2" t="s">
        <v>11</v>
      </c>
      <c r="K2">
        <f>SUMPRODUCT((Données!E$2:'Données'!E$301="Laptop")*(Données!I$2:'Données'!I$301="Payé")*(Données!H$2:'Données'!H$301))</f>
        <v>306592.78999999998</v>
      </c>
    </row>
    <row r="3" spans="1:11" x14ac:dyDescent="0.3">
      <c r="A3" t="s">
        <v>37</v>
      </c>
      <c r="B3">
        <f>COUNTA(Données!A2:A10000)-1</f>
        <v>299</v>
      </c>
      <c r="D3" t="s">
        <v>14</v>
      </c>
      <c r="E3">
        <f>SUMPRODUCT((Données!D$2:'Données'!D$301="Lyon")*(Données!I$2:'Données'!I$301="Payé")*(Données!H$2:'Données'!H$301))</f>
        <v>268731.27999999997</v>
      </c>
      <c r="G3" t="s">
        <v>9</v>
      </c>
      <c r="H3">
        <f>SUMPRODUCT((Données!C$2:'Données'!C$301="Bruno Dupont")*(Données!I$2:'Données'!I$301="Payé")*(Données!H$2:'Données'!H$301))</f>
        <v>223338.59999999998</v>
      </c>
      <c r="J3" t="s">
        <v>18</v>
      </c>
      <c r="K3">
        <f>SUMPRODUCT((Données!E$2:'Données'!E$301="Smartphone")*(Données!I$2:'Données'!I$301="Payé")*(Données!H$2:'Données'!H$301))</f>
        <v>201837.43000000002</v>
      </c>
    </row>
    <row r="4" spans="1:11" x14ac:dyDescent="0.3">
      <c r="A4" t="s">
        <v>55</v>
      </c>
      <c r="B4">
        <f>COUNTIF(Données!I:I,"Payé")</f>
        <v>183</v>
      </c>
      <c r="D4" t="s">
        <v>20</v>
      </c>
      <c r="E4">
        <f>SUMPRODUCT((Données!D$2:'Données'!D$301="Marseille")*(Données!I$2:'Données'!I$301="Payé")*(Données!H$2:'Données'!H$301))</f>
        <v>171106.89999999997</v>
      </c>
      <c r="G4" t="s">
        <v>22</v>
      </c>
      <c r="H4">
        <f>SUMPRODUCT((Données!C$2:'Données'!C$301="Carla Leroy")*(Données!I$2:'Données'!I$301="Payé")*(Données!H$2:'Données'!H$301))</f>
        <v>196596.99000000005</v>
      </c>
      <c r="J4" t="s">
        <v>21</v>
      </c>
      <c r="K4">
        <f>SUMPRODUCT((Données!E$2:'Données'!E$301="Tablette")*(Données!I$2:'Données'!I$301="Payé")*(Données!H$2:'Données'!H$301))</f>
        <v>216477.62</v>
      </c>
    </row>
    <row r="5" spans="1:11" x14ac:dyDescent="0.3">
      <c r="A5" t="s">
        <v>38</v>
      </c>
      <c r="B5">
        <f>COUNTIF(Données!I:I,"En attente")</f>
        <v>60</v>
      </c>
      <c r="D5" t="s">
        <v>17</v>
      </c>
      <c r="E5">
        <f>SUMPRODUCT((Données!D$2:'Données'!D$301="Bordeaux")*(Données!I$2:'Données'!I$301="Payé")*(Données!H$2:'Données'!H$301))</f>
        <v>275507.87</v>
      </c>
      <c r="G5" t="s">
        <v>19</v>
      </c>
      <c r="H5">
        <f>SUMPRODUCT((Données!C$2:'Données'!C$301="David Moreau")*(Données!I$2:'Données'!I$301="Payé")*(Données!H$2:'Données'!H$301))</f>
        <v>189442.64</v>
      </c>
      <c r="J5" t="s">
        <v>23</v>
      </c>
      <c r="K5">
        <f>SUMPRODUCT((Données!E$2:'Données'!E$301="Montre")*(Données!I$2:'Données'!I$301="Payé")*(Données!H$2:'Données'!H$301))</f>
        <v>148060.57999999999</v>
      </c>
    </row>
    <row r="6" spans="1:11" x14ac:dyDescent="0.3">
      <c r="A6" t="s">
        <v>56</v>
      </c>
      <c r="B6">
        <f>COUNTIF(Données!I:I,"Annulé")</f>
        <v>57</v>
      </c>
      <c r="G6" t="s">
        <v>16</v>
      </c>
      <c r="H6">
        <f>SUMPRODUCT((Données!C$2:'Données'!C$301="Emma Bernard")*(Données!I$2:'Données'!I$301="Payé")*(Données!H$2:'Données'!H$301))</f>
        <v>159975.13</v>
      </c>
      <c r="J6" t="s">
        <v>15</v>
      </c>
      <c r="K6">
        <f>SUMPRODUCT((Données!E$2:'Données'!E$301="Accessoires")*(Données!I$2:'Données'!I$301="Payé")*(Données!H$2:'Données'!H$301))</f>
        <v>21481.020000000004</v>
      </c>
    </row>
    <row r="7" spans="1:11" x14ac:dyDescent="0.3">
      <c r="A7" t="s">
        <v>57</v>
      </c>
      <c r="B7">
        <f>IFERROR(B2/B4,0)</f>
        <v>4887.7018579234973</v>
      </c>
    </row>
    <row r="8" spans="1:11" x14ac:dyDescent="0.3">
      <c r="A8" t="s">
        <v>39</v>
      </c>
      <c r="B8">
        <f>IFERROR(B6/B3,0)</f>
        <v>0.19063545150501673</v>
      </c>
    </row>
    <row r="11" spans="1:11" x14ac:dyDescent="0.3">
      <c r="A11" t="s">
        <v>60</v>
      </c>
    </row>
    <row r="12" spans="1:11" x14ac:dyDescent="0.3">
      <c r="A12" t="s">
        <v>41</v>
      </c>
      <c r="B12">
        <f>SUMPRODUCT((MONTH(Données!B$2:'Données'!B$301)=1)*(Données!I$2:'Données'!I$301="Payé")*(Données!H$2:'Données'!H$301))</f>
        <v>126018.65</v>
      </c>
    </row>
    <row r="13" spans="1:11" x14ac:dyDescent="0.3">
      <c r="A13" t="s">
        <v>61</v>
      </c>
      <c r="B13">
        <f>SUMPRODUCT((MONTH(Données!B$2:'Données'!B$301)=2)*(Données!I$2:'Données'!I$301="Payé")*(Données!H$2:'Données'!H$301))</f>
        <v>44226.87999999999</v>
      </c>
    </row>
    <row r="14" spans="1:11" x14ac:dyDescent="0.3">
      <c r="A14" t="s">
        <v>42</v>
      </c>
      <c r="B14">
        <f>SUMPRODUCT((MONTH(Données!B$2:'Données'!B$301)=3)*(Données!I$2:'Données'!I$301="Payé")*(Données!H$2:'Données'!H$301))</f>
        <v>42039.73000000001</v>
      </c>
    </row>
    <row r="15" spans="1:11" x14ac:dyDescent="0.3">
      <c r="A15" t="s">
        <v>43</v>
      </c>
      <c r="B15">
        <f>SUMPRODUCT((MONTH(Données!B$2:'Données'!B$301)=4)*(Données!I$2:'Données'!I$301="Payé")*(Données!H$2:'Données'!H$301))</f>
        <v>66450.149999999994</v>
      </c>
    </row>
    <row r="16" spans="1:11" x14ac:dyDescent="0.3">
      <c r="A16" t="s">
        <v>44</v>
      </c>
      <c r="B16">
        <f>SUMPRODUCT((MONTH(Données!B$2:'Données'!B$301)=5)*(Données!I$2:'Données'!I$301="Payé")*(Données!H$2:'Données'!H$301))</f>
        <v>106039.20999999999</v>
      </c>
    </row>
    <row r="17" spans="1:2" x14ac:dyDescent="0.3">
      <c r="A17" t="s">
        <v>45</v>
      </c>
      <c r="B17">
        <f>SUMPRODUCT((MONTH(Données!B$2:'Données'!B$301)=6)*(Données!I$2:'Données'!I$301="Payé")*(Données!H$2:'Données'!H$301))</f>
        <v>79022.58</v>
      </c>
    </row>
    <row r="18" spans="1:2" x14ac:dyDescent="0.3">
      <c r="A18" t="s">
        <v>46</v>
      </c>
      <c r="B18">
        <f>SUMPRODUCT((MONTH(Données!B$2:'Données'!B$301)=7)*(Données!I$2:'Données'!I$301="Payé")*(Données!H$2:'Données'!H$301))</f>
        <v>65520.34</v>
      </c>
    </row>
    <row r="19" spans="1:2" x14ac:dyDescent="0.3">
      <c r="A19" t="s">
        <v>50</v>
      </c>
      <c r="B19">
        <f>SUMPRODUCT((MONTH(Données!B$2:'Données'!B$301)=8)*(Données!I$2:'Données'!I$301="Payé")*(Données!H$2:'Données'!H$301))</f>
        <v>84325.279999999984</v>
      </c>
    </row>
    <row r="20" spans="1:2" x14ac:dyDescent="0.3">
      <c r="A20" t="s">
        <v>47</v>
      </c>
      <c r="B20">
        <f>SUMPRODUCT((MONTH(Données!B$2:'Données'!B$301)=9)*(Données!I$2:'Données'!I$301="Payé")*(Données!H$2:'Données'!H$301))</f>
        <v>23939.119999999999</v>
      </c>
    </row>
    <row r="21" spans="1:2" x14ac:dyDescent="0.3">
      <c r="A21" t="s">
        <v>48</v>
      </c>
      <c r="B21">
        <f>SUMPRODUCT((MONTH(Données!B$2:'Données'!B$301)=10)*(Données!I$2:'Données'!I$301="Payé")*(Données!H$2:'Données'!H$301))</f>
        <v>112654.47</v>
      </c>
    </row>
    <row r="22" spans="1:2" x14ac:dyDescent="0.3">
      <c r="A22" t="s">
        <v>49</v>
      </c>
      <c r="B22">
        <f>SUMPRODUCT((MONTH(Données!B$2:'Données'!B$301)=11)*(Données!I$2:'Données'!I$301="Payé")*(Données!H$2:'Données'!H$301))</f>
        <v>98260.919999999984</v>
      </c>
    </row>
    <row r="23" spans="1:2" x14ac:dyDescent="0.3">
      <c r="A23" t="s">
        <v>62</v>
      </c>
      <c r="B23">
        <f>SUMPRODUCT((MONTH(Données!B$2:'Données'!B$301)=12)*(Données!I$2:'Données'!I$301="Payé")*(Données!H$2:'Données'!H$301))</f>
        <v>45952.11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A16"/>
  <sheetViews>
    <sheetView tabSelected="1" workbookViewId="0"/>
  </sheetViews>
  <sheetFormatPr baseColWidth="10" defaultColWidth="8.88671875" defaultRowHeight="14.4" x14ac:dyDescent="0.3"/>
  <cols>
    <col min="1" max="1" width="70.33203125" customWidth="1"/>
  </cols>
  <sheetData>
    <row r="1" spans="1:1" ht="21" x14ac:dyDescent="0.4">
      <c r="A1" s="37" t="s">
        <v>26</v>
      </c>
    </row>
    <row r="3" spans="1:1" ht="15.6" x14ac:dyDescent="0.3">
      <c r="A3" s="18" t="s">
        <v>27</v>
      </c>
    </row>
    <row r="4" spans="1:1" x14ac:dyDescent="0.3">
      <c r="A4" s="19" t="s">
        <v>28</v>
      </c>
    </row>
    <row r="6" spans="1:1" ht="15.6" x14ac:dyDescent="0.3">
      <c r="A6" s="18" t="s">
        <v>29</v>
      </c>
    </row>
    <row r="7" spans="1:1" x14ac:dyDescent="0.3">
      <c r="A7" s="19" t="s">
        <v>30</v>
      </c>
    </row>
    <row r="9" spans="1:1" ht="15.6" x14ac:dyDescent="0.3">
      <c r="A9" s="18" t="s">
        <v>31</v>
      </c>
    </row>
    <row r="10" spans="1:1" x14ac:dyDescent="0.3">
      <c r="A10" s="19" t="s">
        <v>32</v>
      </c>
    </row>
    <row r="12" spans="1:1" ht="15.6" x14ac:dyDescent="0.3">
      <c r="A12" s="22" t="s">
        <v>65</v>
      </c>
    </row>
    <row r="13" spans="1:1" x14ac:dyDescent="0.3">
      <c r="A13" s="19" t="s">
        <v>33</v>
      </c>
    </row>
    <row r="15" spans="1:1" ht="15.6" x14ac:dyDescent="0.3">
      <c r="A15" s="18" t="s">
        <v>34</v>
      </c>
    </row>
    <row r="16" spans="1:1" x14ac:dyDescent="0.3">
      <c r="A16" s="19" t="s">
        <v>35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GenererDashboard">
                <anchor moveWithCells="1" sizeWithCells="1">
                  <from>
                    <xdr:col>0</xdr:col>
                    <xdr:colOff>784860</xdr:colOff>
                    <xdr:row>18</xdr:row>
                    <xdr:rowOff>15240</xdr:rowOff>
                  </from>
                  <to>
                    <xdr:col>0</xdr:col>
                    <xdr:colOff>4678680</xdr:colOff>
                    <xdr:row>23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Données</vt:lpstr>
      <vt:lpstr>Analyse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cp:lastPrinted>2026-05-19T21:22:25Z</cp:lastPrinted>
  <dcterms:created xsi:type="dcterms:W3CDTF">2026-05-12T10:30:33Z</dcterms:created>
  <dcterms:modified xsi:type="dcterms:W3CDTF">2026-05-19T21:38:15Z</dcterms:modified>
</cp:coreProperties>
</file>